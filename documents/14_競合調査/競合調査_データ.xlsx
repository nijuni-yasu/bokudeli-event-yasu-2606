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使い方" sheetId="1" state="visible" r:id="rId1"/>
    <sheet xmlns:r="http://schemas.openxmlformats.org/officeDocument/2006/relationships" name="機能マトリクス" sheetId="2" state="visible" r:id="rId2"/>
    <sheet xmlns:r="http://schemas.openxmlformats.org/officeDocument/2006/relationships" name="機能定義" sheetId="3" state="visible" r:id="rId3"/>
    <sheet xmlns:r="http://schemas.openxmlformats.org/officeDocument/2006/relationships" name="判定詳細" sheetId="4" state="visible" r:id="rId4"/>
    <sheet xmlns:r="http://schemas.openxmlformats.org/officeDocument/2006/relationships" name="有力機能の評価" sheetId="5" state="visible" r:id="rId5"/>
    <sheet xmlns:r="http://schemas.openxmlformats.org/officeDocument/2006/relationships" name="機能外の成長要因" sheetId="6" state="visible" r:id="rId6"/>
    <sheet xmlns:r="http://schemas.openxmlformats.org/officeDocument/2006/relationships" name="サービス別グロース" sheetId="7" state="visible" r:id="rId7"/>
    <sheet xmlns:r="http://schemas.openxmlformats.org/officeDocument/2006/relationships" name="機能が牽引した事例" sheetId="8" state="visible" r:id="rId8"/>
    <sheet xmlns:r="http://schemas.openxmlformats.org/officeDocument/2006/relationships" name="規模到達と調達" sheetId="9" state="visible" r:id="rId9"/>
    <sheet xmlns:r="http://schemas.openxmlformats.org/officeDocument/2006/relationships" name="サービス一覧" sheetId="10" state="visible" r:id="rId10"/>
    <sheet xmlns:r="http://schemas.openxmlformats.org/officeDocument/2006/relationships" name="手数料比較" sheetId="11" state="visible" r:id="rId11"/>
    <sheet xmlns:r="http://schemas.openxmlformats.org/officeDocument/2006/relationships" name="飲食店SaaS一覧" sheetId="12" state="visible" r:id="rId12"/>
    <sheet xmlns:r="http://schemas.openxmlformats.org/officeDocument/2006/relationships" name="予約サイト課金" sheetId="13" state="visible" r:id="rId13"/>
    <sheet xmlns:r="http://schemas.openxmlformats.org/officeDocument/2006/relationships" name="店舗向け機能比較" sheetId="14" state="visible" r:id="rId14"/>
    <sheet xmlns:r="http://schemas.openxmlformats.org/officeDocument/2006/relationships" name="Shokujii施策案" sheetId="15" state="visible" r:id="rId15"/>
    <sheet xmlns:r="http://schemas.openxmlformats.org/officeDocument/2006/relationships" name="先行文書の訂正" sheetId="16" state="visible" r:id="rId16"/>
  </sheets>
  <definedNames>
    <definedName name="_xlnm._FilterDatabase" localSheetId="1" hidden="1">'機能マトリクス'!$A$4:$U$81</definedName>
    <definedName name="_xlnm._FilterDatabase" localSheetId="2" hidden="1">'機能定義'!$A$1:$D$78</definedName>
    <definedName name="_xlnm._FilterDatabase" localSheetId="3" hidden="1">'判定詳細'!$A$1:$G$1233</definedName>
    <definedName name="_xlnm._FilterDatabase" localSheetId="4" hidden="1">'有力機能の評価'!$A$3:$I$80</definedName>
    <definedName name="_xlnm._FilterDatabase" localSheetId="5" hidden="1">'機能外の成長要因'!$A$1:$E$10</definedName>
    <definedName name="_xlnm._FilterDatabase" localSheetId="6" hidden="1">'サービス別グロース'!$A$1:$J$43</definedName>
    <definedName name="_xlnm._FilterDatabase" localSheetId="7" hidden="1">'機能が牽引した事例'!$A$1:$E$17</definedName>
    <definedName name="_xlnm._FilterDatabase" localSheetId="8" hidden="1">'規模到達と調達'!$A$1:$D$10</definedName>
    <definedName name="_xlnm._FilterDatabase" localSheetId="9" hidden="1">'サービス一覧'!$A$1:$G$46</definedName>
    <definedName name="_xlnm._FilterDatabase" localSheetId="10" hidden="1">'手数料比較'!$A$1:$E$24</definedName>
    <definedName name="_xlnm._FilterDatabase" localSheetId="11" hidden="1">'飲食店SaaS一覧'!$A$1:$F$27</definedName>
    <definedName name="_xlnm._FilterDatabase" localSheetId="12" hidden="1">'予約サイト課金'!$A$1:$F$7</definedName>
    <definedName name="_xlnm._FilterDatabase" localSheetId="14" hidden="1">'Shokujii施策案'!$A$3:$D$17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sz val="10"/>
    </font>
    <font>
      <name val="Arial"/>
      <sz val="10"/>
    </font>
    <font>
      <name val="Arial"/>
      <i val="1"/>
      <color rgb="00595959"/>
      <sz val="9"/>
    </font>
    <font>
      <name val="Arial"/>
      <b val="1"/>
      <color rgb="00FFFFFF"/>
      <sz val="10"/>
    </font>
    <font>
      <name val="Arial"/>
      <color rgb="000563C1"/>
      <sz val="10"/>
      <u val="single"/>
    </font>
  </fonts>
  <fills count="8">
    <fill>
      <patternFill/>
    </fill>
    <fill>
      <patternFill patternType="gray125"/>
    </fill>
    <fill>
      <patternFill patternType="solid">
        <fgColor rgb="00DCE6F1"/>
      </patternFill>
    </fill>
    <fill>
      <patternFill patternType="solid">
        <fgColor rgb="00C6EFCE"/>
      </patternFill>
    </fill>
    <fill>
      <patternFill patternType="solid">
        <fgColor rgb="00FFEB9C"/>
      </patternFill>
    </fill>
    <fill>
      <patternFill patternType="solid">
        <fgColor rgb="00FFC7CE"/>
      </patternFill>
    </fill>
    <fill>
      <patternFill patternType="solid">
        <fgColor rgb="00E7E6E6"/>
      </patternFill>
    </fill>
    <fill>
      <patternFill patternType="solid">
        <fgColor rgb="001F3A5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2" fillId="2" borderId="0" applyAlignment="1" pivotButton="0" quotePrefix="0" xfId="0">
      <alignment vertical="top" wrapText="1"/>
    </xf>
    <xf numFmtId="0" fontId="2" fillId="3" borderId="0" applyAlignment="1" pivotButton="0" quotePrefix="0" xfId="0">
      <alignment horizontal="center" vertical="center"/>
    </xf>
    <xf numFmtId="0" fontId="2" fillId="4" borderId="0" applyAlignment="1" pivotButton="0" quotePrefix="0" xfId="0">
      <alignment horizontal="center" vertical="center"/>
    </xf>
    <xf numFmtId="0" fontId="2" fillId="5" borderId="0" applyAlignment="1" pivotButton="0" quotePrefix="0" xfId="0">
      <alignment horizontal="center" vertical="center"/>
    </xf>
    <xf numFmtId="0" fontId="2" fillId="6" borderId="0" applyAlignment="1" pivotButton="0" quotePrefix="0" xfId="0">
      <alignment horizontal="center" vertical="center"/>
    </xf>
    <xf numFmtId="0" fontId="4" fillId="0" borderId="0" pivotButton="0" quotePrefix="0" xfId="0"/>
    <xf numFmtId="0" fontId="5" fillId="7" borderId="1" applyAlignment="1" pivotButton="0" quotePrefix="0" xfId="0">
      <alignment vertical="center" wrapText="1"/>
    </xf>
    <xf numFmtId="0" fontId="5" fillId="7" borderId="1" applyAlignment="1" pivotButton="0" quotePrefix="0" xfId="0">
      <alignment horizontal="center" vertical="center" wrapText="1"/>
    </xf>
    <xf numFmtId="0" fontId="3" fillId="0" borderId="1" applyAlignment="1" pivotButton="0" quotePrefix="0" xfId="0">
      <alignment vertical="center"/>
    </xf>
    <xf numFmtId="0" fontId="3" fillId="0" borderId="1" applyAlignment="1" pivotButton="0" quotePrefix="0" xfId="0">
      <alignment horizontal="center" vertical="center"/>
    </xf>
    <xf numFmtId="0" fontId="2" fillId="0" borderId="0" pivotButton="0" quotePrefix="0" xfId="0"/>
    <xf numFmtId="9" fontId="3" fillId="0" borderId="1" applyAlignment="1" pivotButton="0" quotePrefix="0" xfId="0">
      <alignment horizontal="center" vertical="center"/>
    </xf>
    <xf numFmtId="0" fontId="3" fillId="0" borderId="1" applyAlignment="1" pivotButton="0" quotePrefix="0" xfId="0">
      <alignment vertical="top" wrapText="1"/>
    </xf>
    <xf numFmtId="0" fontId="6" fillId="0" borderId="1" applyAlignment="1" pivotButton="0" quotePrefix="0" xfId="0">
      <alignment vertical="top" wrapText="1"/>
    </xf>
    <xf numFmtId="0" fontId="2" fillId="2" borderId="0" pivotButton="0" quotePrefix="0" xfId="0"/>
    <xf numFmtId="0" fontId="0" fillId="2" borderId="0" pivotButton="0" quotePrefix="0" xfId="0"/>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E7E6E6"/>
          <b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www.eventbrite.com/d/ny--new-york/all-events/" TargetMode="External" Id="rId1"/><Relationship Type="http://schemas.openxmlformats.org/officeDocument/2006/relationships/hyperlink" Target="https://www.eventbrite.com/d/ny--new-york/all-events/" TargetMode="External" Id="rId2"/><Relationship Type="http://schemas.openxmlformats.org/officeDocument/2006/relationships/hyperlink" Target="https://www.eventbrite.com/d/ny--new-york/all-events/" TargetMode="External" Id="rId3"/><Relationship Type="http://schemas.openxmlformats.org/officeDocument/2006/relationships/hyperlink" Target="https://www.eventbrite.com/d/ny--new-york/events/" TargetMode="External" Id="rId4"/><Relationship Type="http://schemas.openxmlformats.org/officeDocument/2006/relationships/hyperlink" Target="https://www.eventbrite.com/help/en-us/articles/161196/how-to-set-up-your-organizer-profile-page/" TargetMode="External" Id="rId5"/><Relationship Type="http://schemas.openxmlformats.org/officeDocument/2006/relationships/hyperlink" Target="https://www.eventbrite.com/d/ny--new-york/events/" TargetMode="External" Id="rId6"/><Relationship Type="http://schemas.openxmlformats.org/officeDocument/2006/relationships/hyperlink" Target="https://www.eventbrite.com/d/ny--new-york/events/" TargetMode="External" Id="rId7"/><Relationship Type="http://schemas.openxmlformats.org/officeDocument/2006/relationships/hyperlink" Target="https://www.eventbrite.com/d/ny--new-york/events/" TargetMode="External" Id="rId8"/><Relationship Type="http://schemas.openxmlformats.org/officeDocument/2006/relationships/hyperlink" Target="https://www.eventbrite.com/help/en-us/articles/721549/can-i-get-a-refund/" TargetMode="External" Id="rId9"/><Relationship Type="http://schemas.openxmlformats.org/officeDocument/2006/relationships/hyperlink" Target="https://www.eventbrite.com/signin/" TargetMode="External" Id="rId10"/><Relationship Type="http://schemas.openxmlformats.org/officeDocument/2006/relationships/hyperlink" Target="https://www.eventbrite.com/help/en-us/articles/811539/how-to-set-up-an-event-waitlist/" TargetMode="External" Id="rId11"/><Relationship Type="http://schemas.openxmlformats.org/officeDocument/2006/relationships/hyperlink" Target="https://www.eventbrite.com/e/out-abt-halloween-edition-tickets-1996989228540" TargetMode="External" Id="rId12"/><Relationship Type="http://schemas.openxmlformats.org/officeDocument/2006/relationships/hyperlink" Target="https://www.eventbrite.com/organizer/features/all-features/" TargetMode="External" Id="rId13"/><Relationship Type="http://schemas.openxmlformats.org/officeDocument/2006/relationships/hyperlink" Target="https://www.eventbrite.com/help/en-us/articles/721549/can-i-get-a-refund/" TargetMode="External" Id="rId14"/><Relationship Type="http://schemas.openxmlformats.org/officeDocument/2006/relationships/hyperlink" Target="https://www.eventbrite.com/organizer/pricing/" TargetMode="External" Id="rId15"/><Relationship Type="http://schemas.openxmlformats.org/officeDocument/2006/relationships/hyperlink" Target="https://www.eventbrite.com/features/recurring-events/" TargetMode="External" Id="rId16"/><Relationship Type="http://schemas.openxmlformats.org/officeDocument/2006/relationships/hyperlink" Target="https://www.eventbrite.com/d/ny--new-york/events/" TargetMode="External" Id="rId17"/><Relationship Type="http://schemas.openxmlformats.org/officeDocument/2006/relationships/hyperlink" Target="https://www.eventbrite.com/help/en-us/search/?q=email%20preferences%20recommended%20events%20notifications" TargetMode="External" Id="rId18"/><Relationship Type="http://schemas.openxmlformats.org/officeDocument/2006/relationships/hyperlink" Target="https://www.eventbrite.com/e/out-abt-halloween-edition-tickets-1996989228540" TargetMode="External" Id="rId19"/><Relationship Type="http://schemas.openxmlformats.org/officeDocument/2006/relationships/hyperlink" Target="https://www.eventbrite.com/e/out-abt-halloween-edition-tickets-1996989228540" TargetMode="External" Id="rId20"/><Relationship Type="http://schemas.openxmlformats.org/officeDocument/2006/relationships/hyperlink" Target="https://www.eventbrite.com/help/en-us/articles/835126/how-to-create-promotional-tracking-links/" TargetMode="External" Id="rId21"/><Relationship Type="http://schemas.openxmlformats.org/officeDocument/2006/relationships/hyperlink" Target="https://www.eventbrite.com/d/ny--new-york/events/" TargetMode="External" Id="rId22"/><Relationship Type="http://schemas.openxmlformats.org/officeDocument/2006/relationships/hyperlink" Target="https://www.eventbrite.com/e/out-abt-halloween-edition-tickets-1996989228540" TargetMode="External" Id="rId23"/><Relationship Type="http://schemas.openxmlformats.org/officeDocument/2006/relationships/hyperlink" Target="https://www.eventbrite.com/blog/whats-next-at-eventbrite/" TargetMode="External" Id="rId24"/><Relationship Type="http://schemas.openxmlformats.org/officeDocument/2006/relationships/hyperlink" Target="https://www.eventbrite.com/organizer/features/all-features/" TargetMode="External" Id="rId25"/><Relationship Type="http://schemas.openxmlformats.org/officeDocument/2006/relationships/hyperlink" Target="https://www.eventbrite.com/blog/whats-next-at-eventbrite/" TargetMode="External" Id="rId26"/><Relationship Type="http://schemas.openxmlformats.org/officeDocument/2006/relationships/hyperlink" Target="https://www.eventbrite.com/features/recurring-events/" TargetMode="External" Id="rId27"/><Relationship Type="http://schemas.openxmlformats.org/officeDocument/2006/relationships/hyperlink" Target="https://www.eventbrite.com/blog/whats-next-at-eventbrite/" TargetMode="External" Id="rId28"/><Relationship Type="http://schemas.openxmlformats.org/officeDocument/2006/relationships/hyperlink" Target="https://www.eventbrite.com/organizer/features/all-features/" TargetMode="External" Id="rId29"/><Relationship Type="http://schemas.openxmlformats.org/officeDocument/2006/relationships/hyperlink" Target="https://www.eventbrite.com/help/en-us/articles/362073/permissions-definitions/" TargetMode="External" Id="rId30"/><Relationship Type="http://schemas.openxmlformats.org/officeDocument/2006/relationships/hyperlink" Target="https://www.eventbrite.com/help/en-us/articles/496608/download-an-attendees-report/" TargetMode="External" Id="rId31"/><Relationship Type="http://schemas.openxmlformats.org/officeDocument/2006/relationships/hyperlink" Target="https://www.eventbrite.com/help/en-us/articles/362073/permissions-definitions/" TargetMode="External" Id="rId32"/><Relationship Type="http://schemas.openxmlformats.org/officeDocument/2006/relationships/hyperlink" Target="https://www.eventbrite.com/organizer/features/all-features/" TargetMode="External" Id="rId33"/><Relationship Type="http://schemas.openxmlformats.org/officeDocument/2006/relationships/hyperlink" Target="https://www.eventbrite.com/organizer/features/all-features/" TargetMode="External" Id="rId34"/><Relationship Type="http://schemas.openxmlformats.org/officeDocument/2006/relationships/hyperlink" Target="https://www.eventbrite.com/help/en-us/articles/835126/how-to-create-promotional-tracking-links/" TargetMode="External" Id="rId35"/><Relationship Type="http://schemas.openxmlformats.org/officeDocument/2006/relationships/hyperlink" Target="https://www.eventbrite.com/help/en-us/articles/161196/how-to-set-up-your-organizer-profile-page/" TargetMode="External" Id="rId36"/><Relationship Type="http://schemas.openxmlformats.org/officeDocument/2006/relationships/hyperlink" Target="https://www.eventbrite.com/platform/api" TargetMode="External" Id="rId37"/><Relationship Type="http://schemas.openxmlformats.org/officeDocument/2006/relationships/hyperlink" Target="https://www.eventbrite.com/organizer/pricing/" TargetMode="External" Id="rId38"/><Relationship Type="http://schemas.openxmlformats.org/officeDocument/2006/relationships/hyperlink" Target="https://www.eventbrite.com/organizer/pricing/" TargetMode="External" Id="rId39"/><Relationship Type="http://schemas.openxmlformats.org/officeDocument/2006/relationships/hyperlink" Target="https://www.eventbrite.com/help/en-us/articles/496608/download-an-attendees-report/" TargetMode="External" Id="rId40"/><Relationship Type="http://schemas.openxmlformats.org/officeDocument/2006/relationships/hyperlink" Target="https://www.eventbrite.com/organizer/features/email-marketing/" TargetMode="External" Id="rId41"/><Relationship Type="http://schemas.openxmlformats.org/officeDocument/2006/relationships/hyperlink" Target="https://www.eventbrite.com/organizer/features/all-features/" TargetMode="External" Id="rId42"/><Relationship Type="http://schemas.openxmlformats.org/officeDocument/2006/relationships/hyperlink" Target="https://www.eventbrite.com/help/en-us/articles/193833/eventbrites-new-pricing-plans/" TargetMode="External" Id="rId43"/><Relationship Type="http://schemas.openxmlformats.org/officeDocument/2006/relationships/hyperlink" Target="https://www.eventbrite.com/d/ny--new-york/events/" TargetMode="External" Id="rId44"/><Relationship Type="http://schemas.openxmlformats.org/officeDocument/2006/relationships/hyperlink" Target="https://www.eventbrite.com/organizer/features/email-marketing/" TargetMode="External" Id="rId45"/><Relationship Type="http://schemas.openxmlformats.org/officeDocument/2006/relationships/hyperlink" Target="https://www.eventbrite.com/organizer/features/email-marketing/" TargetMode="External" Id="rId46"/><Relationship Type="http://schemas.openxmlformats.org/officeDocument/2006/relationships/hyperlink" Target="https://www.eventbrite.com/blog/whats-next-at-eventbrite/" TargetMode="External" Id="rId47"/><Relationship Type="http://schemas.openxmlformats.org/officeDocument/2006/relationships/hyperlink" Target="https://www.eventbrite.com/help/en-us/search/?q=verify%20identity%20payouts" TargetMode="External" Id="rId48"/><Relationship Type="http://schemas.openxmlformats.org/officeDocument/2006/relationships/hyperlink" Target="https://www.eventbrite.com/blog/whats-next-at-eventbrite/" TargetMode="External" Id="rId49"/><Relationship Type="http://schemas.openxmlformats.org/officeDocument/2006/relationships/hyperlink" Target="https://www.eventbrite.com/e/out-abt-halloween-edition-tickets-1996989228540" TargetMode="External" Id="rId50"/><Relationship Type="http://schemas.openxmlformats.org/officeDocument/2006/relationships/hyperlink" Target="https://www.eventbrite.com/help/en-us/articles/721549/can-i-get-a-refund/" TargetMode="External" Id="rId51"/><Relationship Type="http://schemas.openxmlformats.org/officeDocument/2006/relationships/hyperlink" Target="https://www.eventbrite.com/help/en-us/search/?q=approve%20registrations%20manually" TargetMode="External" Id="rId52"/><Relationship Type="http://schemas.openxmlformats.org/officeDocument/2006/relationships/hyperlink" Target="https://www.eventbrite.com/organizer/features/all-features/" TargetMode="External" Id="rId53"/><Relationship Type="http://schemas.openxmlformats.org/officeDocument/2006/relationships/hyperlink" Target="https://www.eventbrite.com/organizer/features/all-features/" TargetMode="External" Id="rId54"/><Relationship Type="http://schemas.openxmlformats.org/officeDocument/2006/relationships/hyperlink" Target="https://www.eventbrite.com/organizer/event-industry/food-drink-event-ticketing/" TargetMode="External" Id="rId55"/><Relationship Type="http://schemas.openxmlformats.org/officeDocument/2006/relationships/hyperlink" Target="https://www.eventbrite.com/organizer/features/all-features/" TargetMode="External" Id="rId56"/><Relationship Type="http://schemas.openxmlformats.org/officeDocument/2006/relationships/hyperlink" Target="https://www.eventbrite.com/help/en-us/articles/362073/permissions-definitions/" TargetMode="External" Id="rId57"/><Relationship Type="http://schemas.openxmlformats.org/officeDocument/2006/relationships/hyperlink" Target="https://www.eventbrite.com/organizer/pricing/" TargetMode="External" Id="rId58"/><Relationship Type="http://schemas.openxmlformats.org/officeDocument/2006/relationships/hyperlink" Target="https://www.eventbrite.com/help/en-us/articles/193833/eventbrites-new-pricing-plans/" TargetMode="External" Id="rId59"/><Relationship Type="http://schemas.openxmlformats.org/officeDocument/2006/relationships/hyperlink" Target="https://www.eventbrite.com/help/en-us/articles/460357/how-to-fundraise-and-collect-donations-with-eventbrite/" TargetMode="External" Id="rId60"/><Relationship Type="http://schemas.openxmlformats.org/officeDocument/2006/relationships/hyperlink" Target="https://www.eventbrite.com/organizer/features/all-features/" TargetMode="External" Id="rId61"/><Relationship Type="http://schemas.openxmlformats.org/officeDocument/2006/relationships/hyperlink" Target="https://help.meetup.com/hc/en-us/articles/39235072484109-Finding-an-event" TargetMode="External" Id="rId62"/><Relationship Type="http://schemas.openxmlformats.org/officeDocument/2006/relationships/hyperlink" Target="https://help.meetup.com/hc/en-us/articles/39235072484109-Finding-an-event" TargetMode="External" Id="rId63"/><Relationship Type="http://schemas.openxmlformats.org/officeDocument/2006/relationships/hyperlink" Target="https://help.meetup.com/hc/en-us/articles/39235072484109-Finding-an-event" TargetMode="External" Id="rId64"/><Relationship Type="http://schemas.openxmlformats.org/officeDocument/2006/relationships/hyperlink" Target="https://help.meetup.com/hc/en-us/articles/39489043789325-How-can-I-improve-visibility-for-my-events-and-groups" TargetMode="External" Id="rId65"/><Relationship Type="http://schemas.openxmlformats.org/officeDocument/2006/relationships/hyperlink" Target="https://help.meetup.com/hc/en-us/articles/39792225676813-Announcing-your-events" TargetMode="External" Id="rId66"/><Relationship Type="http://schemas.openxmlformats.org/officeDocument/2006/relationships/hyperlink" Target="https://help.meetup.com/hc/en-us/articles/39235072484109-Finding-an-event" TargetMode="External" Id="rId67"/><Relationship Type="http://schemas.openxmlformats.org/officeDocument/2006/relationships/hyperlink" Target="https://www.meetup.com/" TargetMode="External" Id="rId68"/><Relationship Type="http://schemas.openxmlformats.org/officeDocument/2006/relationships/hyperlink" Target="https://www.meetup.com/" TargetMode="External" Id="rId69"/><Relationship Type="http://schemas.openxmlformats.org/officeDocument/2006/relationships/hyperlink" Target="https://help.meetup.com/hc/en-us/articles/360003883411-Enable-a-Waitlist-for-your-Meetup-event" TargetMode="External" Id="rId70"/><Relationship Type="http://schemas.openxmlformats.org/officeDocument/2006/relationships/hyperlink" Target="https://www.meetup.com/login/" TargetMode="External" Id="rId71"/><Relationship Type="http://schemas.openxmlformats.org/officeDocument/2006/relationships/hyperlink" Target="https://help.meetup.com/hc/en-us/articles/360002878091-Controlling-who-joins-a-Meetup-group" TargetMode="External" Id="rId72"/><Relationship Type="http://schemas.openxmlformats.org/officeDocument/2006/relationships/hyperlink" Target="https://help.meetup.com/hc/en-us/articles/360003883411-Enable-a-Waitlist-for-your-Meetup-event" TargetMode="External" Id="rId73"/><Relationship Type="http://schemas.openxmlformats.org/officeDocument/2006/relationships/hyperlink" Target="https://help.meetup.com/hc/en-us/articles/39790436736525-Creating-an-event" TargetMode="External" Id="rId74"/><Relationship Type="http://schemas.openxmlformats.org/officeDocument/2006/relationships/hyperlink" Target="https://help.meetup.com/hc/en-us/articles/360022471332-Profile-and-event-questions" TargetMode="External" Id="rId75"/><Relationship Type="http://schemas.openxmlformats.org/officeDocument/2006/relationships/hyperlink" Target="https://help.meetup.com/hc/en-us/articles/44014195643661-Request-a-refund-for-an-event-fee" TargetMode="External" Id="rId76"/><Relationship Type="http://schemas.openxmlformats.org/officeDocument/2006/relationships/hyperlink" Target="https://help.meetup.com/hc/en-us/articles/39237118960013-Exporting-an-event-to-your-calendar" TargetMode="External" Id="rId77"/><Relationship Type="http://schemas.openxmlformats.org/officeDocument/2006/relationships/hyperlink" Target="https://help.meetup.com/hc/en-us/articles/40708711774221-What-notifications-Meetup-can-send" TargetMode="External" Id="rId78"/><Relationship Type="http://schemas.openxmlformats.org/officeDocument/2006/relationships/hyperlink" Target="https://help.meetup.com/hc/en-us/articles/45352867716621-Your-event-ticket-and-QR-code" TargetMode="External" Id="rId79"/><Relationship Type="http://schemas.openxmlformats.org/officeDocument/2006/relationships/hyperlink" Target="https://help.meetup.com/hc/en-us/articles/34744060726669-Meetup-vs-Free-Plan-Members-Key-Differences-and-Benefits" TargetMode="External" Id="rId80"/><Relationship Type="http://schemas.openxmlformats.org/officeDocument/2006/relationships/hyperlink" Target="https://help.meetup.com/hc/en-us/articles/360013054151-Viewing-event-feedback-from-members" TargetMode="External" Id="rId81"/><Relationship Type="http://schemas.openxmlformats.org/officeDocument/2006/relationships/hyperlink" Target="https://www.meetup.com/ja/tokyo-international-party-shibuya/events/315750739/" TargetMode="External" Id="rId82"/><Relationship Type="http://schemas.openxmlformats.org/officeDocument/2006/relationships/hyperlink" Target="https://help.meetup.com/hc/en-us/articles/360002882691-Sharing-an-event-on-social-media" TargetMode="External" Id="rId83"/><Relationship Type="http://schemas.openxmlformats.org/officeDocument/2006/relationships/hyperlink" Target="https://help.meetup.com/hc/en-us/articles/39792225676813-Announcing-your-events" TargetMode="External" Id="rId84"/><Relationship Type="http://schemas.openxmlformats.org/officeDocument/2006/relationships/hyperlink" Target="https://www.meetup.com/ja/tokyo-international-party-shibuya/events/315750739/" TargetMode="External" Id="rId85"/><Relationship Type="http://schemas.openxmlformats.org/officeDocument/2006/relationships/hyperlink" Target="https://help.meetup.com/hc/en-us/articles/360002882691-Sharing-an-event-on-social-media" TargetMode="External" Id="rId86"/><Relationship Type="http://schemas.openxmlformats.org/officeDocument/2006/relationships/hyperlink" Target="https://help.meetup.com/hc/en-us/articles/28677808413197-Organizer-Subscription-prices-overview" TargetMode="External" Id="rId87"/><Relationship Type="http://schemas.openxmlformats.org/officeDocument/2006/relationships/hyperlink" Target="https://help.meetup.com/hc/en-us/articles/39790436736525-Creating-an-event" TargetMode="External" Id="rId88"/><Relationship Type="http://schemas.openxmlformats.org/officeDocument/2006/relationships/hyperlink" Target="https://help.meetup.com/hc/en-us/articles/39790436736525-Creating-an-event" TargetMode="External" Id="rId89"/><Relationship Type="http://schemas.openxmlformats.org/officeDocument/2006/relationships/hyperlink" Target="https://help.meetup.com/hc/en-us/articles/39790436736525-Creating-an-event" TargetMode="External" Id="rId90"/><Relationship Type="http://schemas.openxmlformats.org/officeDocument/2006/relationships/hyperlink" Target="https://help.meetup.com/hc/en-us/articles/28677808413197-Organizer-Subscription-prices-overview" TargetMode="External" Id="rId91"/><Relationship Type="http://schemas.openxmlformats.org/officeDocument/2006/relationships/hyperlink" Target="https://help.meetup.com/hc/en-us/articles/360002879411-Managing-a-leadership-team" TargetMode="External" Id="rId92"/><Relationship Type="http://schemas.openxmlformats.org/officeDocument/2006/relationships/hyperlink" Target="https://help.meetup.com/hc/en-us/articles/39887158477965-How-do-I-download-print-my-event-attendee-list" TargetMode="External" Id="rId93"/><Relationship Type="http://schemas.openxmlformats.org/officeDocument/2006/relationships/hyperlink" Target="https://help.meetup.com/hc/en-us/articles/39285624029837-How-can-I-send-emails-to-my-members" TargetMode="External" Id="rId94"/><Relationship Type="http://schemas.openxmlformats.org/officeDocument/2006/relationships/hyperlink" Target="https://help.meetup.com/hc/en-us/articles/45352992737677-Introducing-the-new-attendee-list-and-QR-code-check-in" TargetMode="External" Id="rId95"/><Relationship Type="http://schemas.openxmlformats.org/officeDocument/2006/relationships/hyperlink" Target="https://help.meetup.com/hc/en-us/articles/360002866392-Managing-a-group-s-Money-page" TargetMode="External" Id="rId96"/><Relationship Type="http://schemas.openxmlformats.org/officeDocument/2006/relationships/hyperlink" Target="https://help.meetup.com/hc/en-us/articles/360002862532-How-do-I-see-my-Meetup-group-s-stats" TargetMode="External" Id="rId97"/><Relationship Type="http://schemas.openxmlformats.org/officeDocument/2006/relationships/hyperlink" Target="https://help.meetup.com/hc/en-us/articles/360013054151-Viewing-event-feedback-from-members" TargetMode="External" Id="rId98"/><Relationship Type="http://schemas.openxmlformats.org/officeDocument/2006/relationships/hyperlink" Target="https://help.meetup.com/hc/en-us/articles/28677808413197-Organizer-Subscription-prices-overview" TargetMode="External" Id="rId99"/><Relationship Type="http://schemas.openxmlformats.org/officeDocument/2006/relationships/hyperlink" Target="https://help.meetup.com/hc/en-us/articles/40514667096589-I-used-to-have-access-to-the-free-plan-but-now-don-t-see-it-anymore-can-I-get-it-back" TargetMode="External" Id="rId100"/><Relationship Type="http://schemas.openxmlformats.org/officeDocument/2006/relationships/hyperlink" Target="https://help.meetup.com/hc/en-us/articles/39489419634189--Event-fees-Why-does-Meetup-charge-a-service-fee-for-ticketed-events" TargetMode="External" Id="rId101"/><Relationship Type="http://schemas.openxmlformats.org/officeDocument/2006/relationships/hyperlink" Target="https://help.meetup.com/hc/en-us/articles/28677808413197-Organizer-Subscription-prices-overview" TargetMode="External" Id="rId102"/><Relationship Type="http://schemas.openxmlformats.org/officeDocument/2006/relationships/hyperlink" Target="https://help.meetup.com/hc/en-us/articles/39790436736525-Creating-an-event" TargetMode="External" Id="rId103"/><Relationship Type="http://schemas.openxmlformats.org/officeDocument/2006/relationships/hyperlink" Target="https://help.meetup.com/hc/en-us/articles/28677808413197-Organizer-Subscription-prices-overview" TargetMode="External" Id="rId104"/><Relationship Type="http://schemas.openxmlformats.org/officeDocument/2006/relationships/hyperlink" Target="https://help.meetup.com/hc/en-us/articles/40708711774221-What-notifications-Meetup-can-send" TargetMode="External" Id="rId105"/><Relationship Type="http://schemas.openxmlformats.org/officeDocument/2006/relationships/hyperlink" Target="https://help.meetup.com/hc/en-us/articles/39235072484109-Finding-an-event" TargetMode="External" Id="rId106"/><Relationship Type="http://schemas.openxmlformats.org/officeDocument/2006/relationships/hyperlink" Target="https://help.meetup.com/hc/en-us/articles/34744060726669-Meetup-vs-Free-Plan-Members-Key-Differences-and-Benefits" TargetMode="External" Id="rId107"/><Relationship Type="http://schemas.openxmlformats.org/officeDocument/2006/relationships/hyperlink" Target="https://help.meetup.com/hc/en-us/articles/28677808413197-Organizer-Subscription-prices-overview" TargetMode="External" Id="rId108"/><Relationship Type="http://schemas.openxmlformats.org/officeDocument/2006/relationships/hyperlink" Target="https://help.meetup.com/hc/en-us/articles/360002879411-Managing-a-leadership-team" TargetMode="External" Id="rId109"/><Relationship Type="http://schemas.openxmlformats.org/officeDocument/2006/relationships/hyperlink" Target="https://help.meetup.com/hc/en-us/articles/360013054151-Viewing-event-feedback-from-members" TargetMode="External" Id="rId110"/><Relationship Type="http://schemas.openxmlformats.org/officeDocument/2006/relationships/hyperlink" Target="https://help.meetup.com/hc/en-us/articles/48377081479693-Setting-up-event-chats-and-third-party-messaging-on-Meetup" TargetMode="External" Id="rId111"/><Relationship Type="http://schemas.openxmlformats.org/officeDocument/2006/relationships/hyperlink" Target="https://help.meetup.com/hc/en-us/articles/42035449507853-FAQs-around-the-newly-released-Super-Organizer-badge" TargetMode="External" Id="rId112"/><Relationship Type="http://schemas.openxmlformats.org/officeDocument/2006/relationships/hyperlink" Target="https://help.meetup.com/hc/en-us/articles/43041158507661-How-we-moderate-Meetup-to-keep-interactions-meaningful-and-safe" TargetMode="External" Id="rId113"/><Relationship Type="http://schemas.openxmlformats.org/officeDocument/2006/relationships/hyperlink" Target="https://help.meetup.com/hc/en-us/articles/45352992737677-Introducing-the-new-attendee-list-and-QR-code-check-in" TargetMode="External" Id="rId114"/><Relationship Type="http://schemas.openxmlformats.org/officeDocument/2006/relationships/hyperlink" Target="https://help.meetup.com/hc/en-us/articles/360002921751-Key-differences-between-Public-Groups-and-Private-Groups" TargetMode="External" Id="rId115"/><Relationship Type="http://schemas.openxmlformats.org/officeDocument/2006/relationships/hyperlink" Target="https://help.meetup.com/hc/en-us/articles/360022471332-Profile-and-event-questions" TargetMode="External" Id="rId116"/><Relationship Type="http://schemas.openxmlformats.org/officeDocument/2006/relationships/hyperlink" Target="https://help.meetup.com/hc/en-us/articles/39790436736525-Creating-an-event" TargetMode="External" Id="rId117"/><Relationship Type="http://schemas.openxmlformats.org/officeDocument/2006/relationships/hyperlink" Target="https://help.meetup.com/hc/en-us/articles/39489419634189--Event-fees-Why-does-Meetup-charge-a-service-fee-for-ticketed-events" TargetMode="External" Id="rId118"/><Relationship Type="http://schemas.openxmlformats.org/officeDocument/2006/relationships/hyperlink" Target="https://help.meetup.com/hc/en-us/articles/28677808413197-Organizer-Subscription-prices-overview" TargetMode="External" Id="rId119"/><Relationship Type="http://schemas.openxmlformats.org/officeDocument/2006/relationships/hyperlink" Target="https://help.meetup.com/hc/en-us/articles/39790436736525-Creating-an-event" TargetMode="External" Id="rId120"/><Relationship Type="http://schemas.openxmlformats.org/officeDocument/2006/relationships/hyperlink" Target="https://help.meetup.com/hc/en-us/articles/34744060726669-Meetup-vs-Free-Plan-Members-Key-Differences-and-Benefits" TargetMode="External" Id="rId121"/><Relationship Type="http://schemas.openxmlformats.org/officeDocument/2006/relationships/hyperlink" Target="https://dicefm.zendesk.com/hc/en-gb/articles/22365220986897-How-to-find-events-you-ll-love-on-DICE" TargetMode="External" Id="rId122"/><Relationship Type="http://schemas.openxmlformats.org/officeDocument/2006/relationships/hyperlink" Target="https://dicefm.zendesk.com/hc/en-gb/articles/22365220986897-How-to-find-events-you-ll-love-on-DICE" TargetMode="External" Id="rId123"/><Relationship Type="http://schemas.openxmlformats.org/officeDocument/2006/relationships/hyperlink" Target="https://dice.fm/browse" TargetMode="External" Id="rId124"/><Relationship Type="http://schemas.openxmlformats.org/officeDocument/2006/relationships/hyperlink" Target="https://dice.fm/partners/ticketing" TargetMode="External" Id="rId125"/><Relationship Type="http://schemas.openxmlformats.org/officeDocument/2006/relationships/hyperlink" Target="https://dicefm.zendesk.com/hc/en-gb/articles/22365422759313-Getting-started-with-DICE" TargetMode="External" Id="rId126"/><Relationship Type="http://schemas.openxmlformats.org/officeDocument/2006/relationships/hyperlink" Target="https://dicefm.zendesk.com/hc/en-gb/articles/22365422759313-Getting-started-with-DICE" TargetMode="External" Id="rId127"/><Relationship Type="http://schemas.openxmlformats.org/officeDocument/2006/relationships/hyperlink" Target="https://dice.fm/browse" TargetMode="External" Id="rId128"/><Relationship Type="http://schemas.openxmlformats.org/officeDocument/2006/relationships/hyperlink" Target="https://dicefm.zendesk.com/hc/en-gb/articles/22365220986897-How-to-find-events-you-ll-love-on-DICE" TargetMode="External" Id="rId129"/><Relationship Type="http://schemas.openxmlformats.org/officeDocument/2006/relationships/hyperlink" Target="https://dicefm.zendesk.com/hc/en-gb/articles/4409604062481-Create-an-account" TargetMode="External" Id="rId130"/><Relationship Type="http://schemas.openxmlformats.org/officeDocument/2006/relationships/hyperlink" Target="https://dicefm.zendesk.com/hc/en-gb/articles/4409604062481-Create-an-account" TargetMode="External" Id="rId131"/><Relationship Type="http://schemas.openxmlformats.org/officeDocument/2006/relationships/hyperlink" Target="https://dicefm.zendesk.com/hc/en-gb/articles/19958073128849-The-wait-list-explained" TargetMode="External" Id="rId132"/><Relationship Type="http://schemas.openxmlformats.org/officeDocument/2006/relationships/hyperlink" Target="https://dice.fm/event/923pw6-eazybaked-and-distinct-motive-at-exit-206-17th-oct-the-shop-seattle-tickets" TargetMode="External" Id="rId133"/><Relationship Type="http://schemas.openxmlformats.org/officeDocument/2006/relationships/hyperlink" Target="https://dicefm.zendesk.com/hc/en-gb/articles/4409603669777-When-are-you-entitled-to-a-refund" TargetMode="External" Id="rId134"/><Relationship Type="http://schemas.openxmlformats.org/officeDocument/2006/relationships/hyperlink" Target="https://dicefm.zendesk.com/hc/en-gb/articles/22365422759313-Getting-started-with-DICE" TargetMode="External" Id="rId135"/><Relationship Type="http://schemas.openxmlformats.org/officeDocument/2006/relationships/hyperlink" Target="https://dicefm.zendesk.com/hc/en-gb/articles/22367835146513-Why-we-ask-you-to-download-our-app" TargetMode="External" Id="rId136"/><Relationship Type="http://schemas.openxmlformats.org/officeDocument/2006/relationships/hyperlink" Target="https://dicefm.zendesk.com/hc/en-gb/articles/22365220986897-How-to-find-events-you-ll-love-on-DICE" TargetMode="External" Id="rId137"/><Relationship Type="http://schemas.openxmlformats.org/officeDocument/2006/relationships/hyperlink" Target="https://dice.fm/event/923pw6-eazybaked-and-distinct-motive-at-exit-206-17th-oct-the-shop-seattle-tickets" TargetMode="External" Id="rId138"/><Relationship Type="http://schemas.openxmlformats.org/officeDocument/2006/relationships/hyperlink" Target="https://dicefm.zendesk.com/hc/en-gb/articles/22365220986897-How-to-find-events-you-ll-love-on-DICE" TargetMode="External" Id="rId139"/><Relationship Type="http://schemas.openxmlformats.org/officeDocument/2006/relationships/hyperlink" Target="https://dicefm.zendesk.com/hc/en-gb/articles/20137793751441-Create-groups-to-make-plans-with-friends" TargetMode="External" Id="rId140"/><Relationship Type="http://schemas.openxmlformats.org/officeDocument/2006/relationships/hyperlink" Target="https://dice.fm/blog/dices-big-fat-2021-product-round-up" TargetMode="External" Id="rId141"/><Relationship Type="http://schemas.openxmlformats.org/officeDocument/2006/relationships/hyperlink" Target="https://dicefm.zendesk.com/hc/en-gb/articles/22363037002897-How-to-sync-your-contacts-and-find-friends-on-DICE" TargetMode="External" Id="rId142"/><Relationship Type="http://schemas.openxmlformats.org/officeDocument/2006/relationships/hyperlink" Target="https://dicefm.zendesk.com/hc/en-gb/articles/20137793751441-Create-groups-to-make-plans-with-friends" TargetMode="External" Id="rId143"/><Relationship Type="http://schemas.openxmlformats.org/officeDocument/2006/relationships/hyperlink" Target="https://dice.fm/blog/dices-big-fat-2021-product-round-up" TargetMode="External" Id="rId144"/><Relationship Type="http://schemas.openxmlformats.org/officeDocument/2006/relationships/hyperlink" Target="https://dice.fm/partners/ticketing" TargetMode="External" Id="rId145"/><Relationship Type="http://schemas.openxmlformats.org/officeDocument/2006/relationships/hyperlink" Target="https://dice.fm/partners/work-with-us/promoters" TargetMode="External" Id="rId146"/><Relationship Type="http://schemas.openxmlformats.org/officeDocument/2006/relationships/hyperlink" Target="https://dice.fm/event/923pw6-eazybaked-and-distinct-motive-at-exit-206-17th-oct-the-shop-seattle-tickets" TargetMode="External" Id="rId147"/><Relationship Type="http://schemas.openxmlformats.org/officeDocument/2006/relationships/hyperlink" Target="https://dice.fm/blog/identify-fan-demand-with-the-waiting-list" TargetMode="External" Id="rId148"/><Relationship Type="http://schemas.openxmlformats.org/officeDocument/2006/relationships/hyperlink" Target="https://dice.fm/blog/identify-fan-demand-with-the-waiting-list" TargetMode="External" Id="rId149"/><Relationship Type="http://schemas.openxmlformats.org/officeDocument/2006/relationships/hyperlink" Target="https://dice.fm/partners/ticketing" TargetMode="External" Id="rId150"/><Relationship Type="http://schemas.openxmlformats.org/officeDocument/2006/relationships/hyperlink" Target="https://dice.fm/partners/ticketing" TargetMode="External" Id="rId151"/><Relationship Type="http://schemas.openxmlformats.org/officeDocument/2006/relationships/hyperlink" Target="https://dice.fm/partners/ticketing" TargetMode="External" Id="rId152"/><Relationship Type="http://schemas.openxmlformats.org/officeDocument/2006/relationships/hyperlink" Target="https://dice.fm/blog/dices-big-fat-2021-product-round-up" TargetMode="External" Id="rId153"/><Relationship Type="http://schemas.openxmlformats.org/officeDocument/2006/relationships/hyperlink" Target="https://dice.fm/blog/dices-big-fat-2021-product-round-up" TargetMode="External" Id="rId154"/><Relationship Type="http://schemas.openxmlformats.org/officeDocument/2006/relationships/hyperlink" Target="https://dice.fm/blog/dices-big-fat-2021-product-round-up" TargetMode="External" Id="rId155"/><Relationship Type="http://schemas.openxmlformats.org/officeDocument/2006/relationships/hyperlink" Target="https://dice.fm/blog/identify-fan-demand-with-the-waiting-list" TargetMode="External" Id="rId156"/><Relationship Type="http://schemas.openxmlformats.org/officeDocument/2006/relationships/hyperlink" Target="https://dice.fm/partners/ticketing" TargetMode="External" Id="rId157"/><Relationship Type="http://schemas.openxmlformats.org/officeDocument/2006/relationships/hyperlink" Target="https://dicefm.zendesk.com/hc/en-gb/articles/22365220986897-How-to-find-events-you-ll-love-on-DICE" TargetMode="External" Id="rId158"/><Relationship Type="http://schemas.openxmlformats.org/officeDocument/2006/relationships/hyperlink" Target="https://dice.fm/blog/dices-big-fat-2021-product-round-up" TargetMode="External" Id="rId159"/><Relationship Type="http://schemas.openxmlformats.org/officeDocument/2006/relationships/hyperlink" Target="https://dice.fm/blog/dices-big-fat-2021-product-round-up" TargetMode="External" Id="rId160"/><Relationship Type="http://schemas.openxmlformats.org/officeDocument/2006/relationships/hyperlink" Target="https://dicefm.zendesk.com/hc/en-gb/articles/20137793751441-Create-groups-to-make-plans-with-friends" TargetMode="External" Id="rId161"/><Relationship Type="http://schemas.openxmlformats.org/officeDocument/2006/relationships/hyperlink" Target="https://dicefm.zendesk.com/hc/en-gb/articles/4409604062481-Create-an-account" TargetMode="External" Id="rId162"/><Relationship Type="http://schemas.openxmlformats.org/officeDocument/2006/relationships/hyperlink" Target="https://dicefm.zendesk.com/hc/en-gb/articles/4409603669777-When-are-you-entitled-to-a-refund" TargetMode="External" Id="rId163"/><Relationship Type="http://schemas.openxmlformats.org/officeDocument/2006/relationships/hyperlink" Target="https://dicefm.zendesk.com/hc/en-gb/articles/20137793751441-Create-groups-to-make-plans-with-friends" TargetMode="External" Id="rId164"/><Relationship Type="http://schemas.openxmlformats.org/officeDocument/2006/relationships/hyperlink" Target="https://dicefm.zendesk.com/hc/en-gb/articles/22367835146513-Why-we-ask-you-to-download-our-app" TargetMode="External" Id="rId165"/><Relationship Type="http://schemas.openxmlformats.org/officeDocument/2006/relationships/hyperlink" Target="https://dicefm.zendesk.com/hc/en-gb/articles/43363506255377-Extras" TargetMode="External" Id="rId166"/><Relationship Type="http://schemas.openxmlformats.org/officeDocument/2006/relationships/hyperlink" Target="https://dice.fm/partners/work-with-us/promoters" TargetMode="External" Id="rId167"/><Relationship Type="http://schemas.openxmlformats.org/officeDocument/2006/relationships/hyperlink" Target="https://dicefm.zendesk.com/hc/en-gb/articles/19919859544337-How-ticket-tiers-work" TargetMode="External" Id="rId168"/><Relationship Type="http://schemas.openxmlformats.org/officeDocument/2006/relationships/hyperlink" Target="https://dicefm.zendesk.com/hc/en-gb/articles/19919684020113-How-DICE-fees-work" TargetMode="External" Id="rId169"/><Relationship Type="http://schemas.openxmlformats.org/officeDocument/2006/relationships/hyperlink" Target="https://dicefm.zendesk.com/hc/en-gb/articles/38838031250833-Venue-Donations" TargetMode="External" Id="rId170"/><Relationship Type="http://schemas.openxmlformats.org/officeDocument/2006/relationships/hyperlink" Target="https://dicefm.zendesk.com/hc/en-gb/articles/4409672262033-Use-a-promo-code" TargetMode="External" Id="rId171"/><Relationship Type="http://schemas.openxmlformats.org/officeDocument/2006/relationships/hyperlink" Target="https://dicefm.zendesk.com/hc/en-gb/categories/4409672160529-Payments-pricing-refunds" TargetMode="External" Id="rId172"/><Relationship Type="http://schemas.openxmlformats.org/officeDocument/2006/relationships/hyperlink" Target="https://www.tickettailor.com/discover" TargetMode="External" Id="rId173"/><Relationship Type="http://schemas.openxmlformats.org/officeDocument/2006/relationships/hyperlink" Target="https://www.tickettailor.com/eventbrite-alternative" TargetMode="External" Id="rId174"/><Relationship Type="http://schemas.openxmlformats.org/officeDocument/2006/relationships/hyperlink" Target="https://www.tickettailor.com/discover" TargetMode="External" Id="rId175"/><Relationship Type="http://schemas.openxmlformats.org/officeDocument/2006/relationships/hyperlink" Target="https://help.tickettailor.com/en/collections/13514039-support-for-ticket-buyers-and-attendees" TargetMode="External" Id="rId176"/><Relationship Type="http://schemas.openxmlformats.org/officeDocument/2006/relationships/hyperlink" Target="https://help.tickettailor.com/en/collections/13514039-support-for-ticket-buyers-and-attendees" TargetMode="External" Id="rId177"/><Relationship Type="http://schemas.openxmlformats.org/officeDocument/2006/relationships/hyperlink" Target="https://www.tickettailor.com/features" TargetMode="External" Id="rId178"/><Relationship Type="http://schemas.openxmlformats.org/officeDocument/2006/relationships/hyperlink" Target="https://www.tickettailor.com/features" TargetMode="External" Id="rId179"/><Relationship Type="http://schemas.openxmlformats.org/officeDocument/2006/relationships/hyperlink" Target="https://www.tickettailor.com/manage-your-orders" TargetMode="External" Id="rId180"/><Relationship Type="http://schemas.openxmlformats.org/officeDocument/2006/relationships/hyperlink" Target="https://www.tickettailor.com/features" TargetMode="External" Id="rId181"/><Relationship Type="http://schemas.openxmlformats.org/officeDocument/2006/relationships/hyperlink" Target="https://www.tickettailor.com/features" TargetMode="External" Id="rId182"/><Relationship Type="http://schemas.openxmlformats.org/officeDocument/2006/relationships/hyperlink" Target="https://www.tickettailor.com/features" TargetMode="External" Id="rId183"/><Relationship Type="http://schemas.openxmlformats.org/officeDocument/2006/relationships/hyperlink" Target="https://www.tickettailor.com/features" TargetMode="External" Id="rId184"/><Relationship Type="http://schemas.openxmlformats.org/officeDocument/2006/relationships/hyperlink" Target="https://www.tickettailor.com/events/thebaristaleague/1924213" TargetMode="External" Id="rId185"/><Relationship Type="http://schemas.openxmlformats.org/officeDocument/2006/relationships/hyperlink" Target="https://www.tickettailor.com/features" TargetMode="External" Id="rId186"/><Relationship Type="http://schemas.openxmlformats.org/officeDocument/2006/relationships/hyperlink" Target="https://www.tickettailor.com/promote-your-event" TargetMode="External" Id="rId187"/><Relationship Type="http://schemas.openxmlformats.org/officeDocument/2006/relationships/hyperlink" Target="https://www.tickettailor.com/features" TargetMode="External" Id="rId188"/><Relationship Type="http://schemas.openxmlformats.org/officeDocument/2006/relationships/hyperlink" Target="https://www.tickettailor.com/your-event-set-up" TargetMode="External" Id="rId189"/><Relationship Type="http://schemas.openxmlformats.org/officeDocument/2006/relationships/hyperlink" Target="https://www.tickettailor.com/features" TargetMode="External" Id="rId190"/><Relationship Type="http://schemas.openxmlformats.org/officeDocument/2006/relationships/hyperlink" Target="https://www.tickettailor.com/features" TargetMode="External" Id="rId191"/><Relationship Type="http://schemas.openxmlformats.org/officeDocument/2006/relationships/hyperlink" Target="https://www.tickettailor.com/features" TargetMode="External" Id="rId192"/><Relationship Type="http://schemas.openxmlformats.org/officeDocument/2006/relationships/hyperlink" Target="https://www.tickettailor.com/features" TargetMode="External" Id="rId193"/><Relationship Type="http://schemas.openxmlformats.org/officeDocument/2006/relationships/hyperlink" Target="https://www.tickettailor.com/features" TargetMode="External" Id="rId194"/><Relationship Type="http://schemas.openxmlformats.org/officeDocument/2006/relationships/hyperlink" Target="https://www.tickettailor.com/manage-your-orders" TargetMode="External" Id="rId195"/><Relationship Type="http://schemas.openxmlformats.org/officeDocument/2006/relationships/hyperlink" Target="https://www.tickettailor.com/features" TargetMode="External" Id="rId196"/><Relationship Type="http://schemas.openxmlformats.org/officeDocument/2006/relationships/hyperlink" Target="https://www.tickettailor.com/features" TargetMode="External" Id="rId197"/><Relationship Type="http://schemas.openxmlformats.org/officeDocument/2006/relationships/hyperlink" Target="https://www.tickettailor.com/features" TargetMode="External" Id="rId198"/><Relationship Type="http://schemas.openxmlformats.org/officeDocument/2006/relationships/hyperlink" Target="https://www.tickettailor.com/promote-your-event" TargetMode="External" Id="rId199"/><Relationship Type="http://schemas.openxmlformats.org/officeDocument/2006/relationships/hyperlink" Target="https://www.tickettailor.com/features" TargetMode="External" Id="rId200"/><Relationship Type="http://schemas.openxmlformats.org/officeDocument/2006/relationships/hyperlink" Target="https://www.tickettailor.com/features" TargetMode="External" Id="rId201"/><Relationship Type="http://schemas.openxmlformats.org/officeDocument/2006/relationships/hyperlink" Target="https://www.tickettailor.com/pricing" TargetMode="External" Id="rId202"/><Relationship Type="http://schemas.openxmlformats.org/officeDocument/2006/relationships/hyperlink" Target="https://www.tickettailor.com/pricing" TargetMode="External" Id="rId203"/><Relationship Type="http://schemas.openxmlformats.org/officeDocument/2006/relationships/hyperlink" Target="https://www.tickettailor.com/manage-your-orders" TargetMode="External" Id="rId204"/><Relationship Type="http://schemas.openxmlformats.org/officeDocument/2006/relationships/hyperlink" Target="https://www.tickettailor.com/eventbrite-alternative" TargetMode="External" Id="rId205"/><Relationship Type="http://schemas.openxmlformats.org/officeDocument/2006/relationships/hyperlink" Target="https://www.tickettailor.com/partner-program" TargetMode="External" Id="rId206"/><Relationship Type="http://schemas.openxmlformats.org/officeDocument/2006/relationships/hyperlink" Target="https://www.tickettailor.com/" TargetMode="External" Id="rId207"/><Relationship Type="http://schemas.openxmlformats.org/officeDocument/2006/relationships/hyperlink" Target="https://www.tickettailor.com/eventbrite-alternative" TargetMode="External" Id="rId208"/><Relationship Type="http://schemas.openxmlformats.org/officeDocument/2006/relationships/hyperlink" Target="https://www.tickettailor.com/features" TargetMode="External" Id="rId209"/><Relationship Type="http://schemas.openxmlformats.org/officeDocument/2006/relationships/hyperlink" Target="https://www.tickettailor.com/promote-your-event" TargetMode="External" Id="rId210"/><Relationship Type="http://schemas.openxmlformats.org/officeDocument/2006/relationships/hyperlink" Target="https://www.tickettailor.com/manage-your-orders" TargetMode="External" Id="rId211"/><Relationship Type="http://schemas.openxmlformats.org/officeDocument/2006/relationships/hyperlink" Target="https://www.tickettailor.com/features-to-help-you-grow" TargetMode="External" Id="rId212"/><Relationship Type="http://schemas.openxmlformats.org/officeDocument/2006/relationships/hyperlink" Target="https://www.tickettailor.com/features" TargetMode="External" Id="rId213"/><Relationship Type="http://schemas.openxmlformats.org/officeDocument/2006/relationships/hyperlink" Target="https://www.tickettailor.com/features" TargetMode="External" Id="rId214"/><Relationship Type="http://schemas.openxmlformats.org/officeDocument/2006/relationships/hyperlink" Target="https://www.tickettailor.com/features" TargetMode="External" Id="rId215"/><Relationship Type="http://schemas.openxmlformats.org/officeDocument/2006/relationships/hyperlink" Target="https://www.tickettailor.com/features" TargetMode="External" Id="rId216"/><Relationship Type="http://schemas.openxmlformats.org/officeDocument/2006/relationships/hyperlink" Target="https://www.tickettailor.com/pricing" TargetMode="External" Id="rId217"/><Relationship Type="http://schemas.openxmlformats.org/officeDocument/2006/relationships/hyperlink" Target="https://www.tickettailor.com/" TargetMode="External" Id="rId218"/><Relationship Type="http://schemas.openxmlformats.org/officeDocument/2006/relationships/hyperlink" Target="https://www.tickettailor.com/features" TargetMode="External" Id="rId219"/><Relationship Type="http://schemas.openxmlformats.org/officeDocument/2006/relationships/hyperlink" Target="https://www.tickettailor.com/promote-your-event" TargetMode="External" Id="rId220"/><Relationship Type="http://schemas.openxmlformats.org/officeDocument/2006/relationships/hyperlink" Target="https://www.tickettailor.com/features" TargetMode="External" Id="rId221"/><Relationship Type="http://schemas.openxmlformats.org/officeDocument/2006/relationships/hyperlink" Target="https://help.luma.com/p/searching-for-events" TargetMode="External" Id="rId222"/><Relationship Type="http://schemas.openxmlformats.org/officeDocument/2006/relationships/hyperlink" Target="https://help.luma.com/p/searching-for-events" TargetMode="External" Id="rId223"/><Relationship Type="http://schemas.openxmlformats.org/officeDocument/2006/relationships/hyperlink" Target="https://help.luma.com/p/searching-for-events" TargetMode="External" Id="rId224"/><Relationship Type="http://schemas.openxmlformats.org/officeDocument/2006/relationships/hyperlink" Target="https://help.luma.com/p/discovering-events" TargetMode="External" Id="rId225"/><Relationship Type="http://schemas.openxmlformats.org/officeDocument/2006/relationships/hyperlink" Target="https://help.luma.com/p/luma-calendar-overview" TargetMode="External" Id="rId226"/><Relationship Type="http://schemas.openxmlformats.org/officeDocument/2006/relationships/hyperlink" Target="https://help.luma.com/p/featuring-your-event-on-luma" TargetMode="External" Id="rId227"/><Relationship Type="http://schemas.openxmlformats.org/officeDocument/2006/relationships/hyperlink" Target="https://help.luma.com/p/featuring-your-event-on-luma" TargetMode="External" Id="rId228"/><Relationship Type="http://schemas.openxmlformats.org/officeDocument/2006/relationships/hyperlink" Target="https://help.luma.com/p/event-registration-process" TargetMode="External" Id="rId229"/><Relationship Type="http://schemas.openxmlformats.org/officeDocument/2006/relationships/hyperlink" Target="https://help.luma.com/p/signing-in" TargetMode="External" Id="rId230"/><Relationship Type="http://schemas.openxmlformats.org/officeDocument/2006/relationships/hyperlink" Target="https://help.luma.com/p/setting-up-ticket-types" TargetMode="External" Id="rId231"/><Relationship Type="http://schemas.openxmlformats.org/officeDocument/2006/relationships/hyperlink" Target="https://help.luma.com/p/waitlist" TargetMode="External" Id="rId232"/><Relationship Type="http://schemas.openxmlformats.org/officeDocument/2006/relationships/hyperlink" Target="https://help.luma.com/p/collect-registration-questions" TargetMode="External" Id="rId233"/><Relationship Type="http://schemas.openxmlformats.org/officeDocument/2006/relationships/hyperlink" Target="https://help.luma.com/p/refunding-a-guest" TargetMode="External" Id="rId234"/><Relationship Type="http://schemas.openxmlformats.org/officeDocument/2006/relationships/hyperlink" Target="https://help.luma.com/p/ical-syncing" TargetMode="External" Id="rId235"/><Relationship Type="http://schemas.openxmlformats.org/officeDocument/2006/relationships/hyperlink" Target="https://help.luma.com/p/update-to-reminders-on-luma" TargetMode="External" Id="rId236"/><Relationship Type="http://schemas.openxmlformats.org/officeDocument/2006/relationships/hyperlink" Target="https://help.luma.com/p/check-in" TargetMode="External" Id="rId237"/><Relationship Type="http://schemas.openxmlformats.org/officeDocument/2006/relationships/hyperlink" Target="https://help.luma.com/p/event-guest-list" TargetMode="External" Id="rId238"/><Relationship Type="http://schemas.openxmlformats.org/officeDocument/2006/relationships/hyperlink" Target="https://help.luma.com/p/collect-feedback-from-your-event-guests" TargetMode="External" Id="rId239"/><Relationship Type="http://schemas.openxmlformats.org/officeDocument/2006/relationships/hyperlink" Target="https://help.luma.com/p/updating-social-images" TargetMode="External" Id="rId240"/><Relationship Type="http://schemas.openxmlformats.org/officeDocument/2006/relationships/hyperlink" Target="https://help.luma.com/p/promote-your-event" TargetMode="External" Id="rId241"/><Relationship Type="http://schemas.openxmlformats.org/officeDocument/2006/relationships/hyperlink" Target="https://help.luma.com/p/event-referrals" TargetMode="External" Id="rId242"/><Relationship Type="http://schemas.openxmlformats.org/officeDocument/2006/relationships/hyperlink" Target="https://help.luma.com/p/event-referrals" TargetMode="External" Id="rId243"/><Relationship Type="http://schemas.openxmlformats.org/officeDocument/2006/relationships/hyperlink" Target="https://help.luma.com/p/inviting-and-adding-guests-to-your-event" TargetMode="External" Id="rId244"/><Relationship Type="http://schemas.openxmlformats.org/officeDocument/2006/relationships/hyperlink" Target="https://help.luma.com/p/event-guest-list" TargetMode="External" Id="rId245"/><Relationship Type="http://schemas.openxmlformats.org/officeDocument/2006/relationships/hyperlink" Target="https://help.luma.com/p/promote-your-event" TargetMode="External" Id="rId246"/><Relationship Type="http://schemas.openxmlformats.org/officeDocument/2006/relationships/hyperlink" Target="https://help.luma.com/p/embed-luma-on-your-website" TargetMode="External" Id="rId247"/><Relationship Type="http://schemas.openxmlformats.org/officeDocument/2006/relationships/hyperlink" Target="https://help.luma.com/p/creating-an-event" TargetMode="External" Id="rId248"/><Relationship Type="http://schemas.openxmlformats.org/officeDocument/2006/relationships/hyperlink" Target="https://help.luma.com/p/cloning-events" TargetMode="External" Id="rId249"/><Relationship Type="http://schemas.openxmlformats.org/officeDocument/2006/relationships/hyperlink" Target="https://help.luma.com/p/setting-your-event-visibility" TargetMode="External" Id="rId250"/><Relationship Type="http://schemas.openxmlformats.org/officeDocument/2006/relationships/hyperlink" Target="https://help.luma.com/p/adding-hosts-and-managers-to-your-event" TargetMode="External" Id="rId251"/><Relationship Type="http://schemas.openxmlformats.org/officeDocument/2006/relationships/hyperlink" Target="https://help.luma.com/p/managing-your-guest-list" TargetMode="External" Id="rId252"/><Relationship Type="http://schemas.openxmlformats.org/officeDocument/2006/relationships/hyperlink" Target="https://help.luma.com/p/sending-or-scheduling-event-blasts" TargetMode="External" Id="rId253"/><Relationship Type="http://schemas.openxmlformats.org/officeDocument/2006/relationships/hyperlink" Target="https://help.luma.com/p/check-in" TargetMode="External" Id="rId254"/><Relationship Type="http://schemas.openxmlformats.org/officeDocument/2006/relationships/hyperlink" Target="https://help.luma.com/p/understanding-payouts-and-event-proceeds" TargetMode="External" Id="rId255"/><Relationship Type="http://schemas.openxmlformats.org/officeDocument/2006/relationships/hyperlink" Target="https://help.luma.com/p/event-insights" TargetMode="External" Id="rId256"/><Relationship Type="http://schemas.openxmlformats.org/officeDocument/2006/relationships/hyperlink" Target="https://help.luma.com/p/luma-calendar-overview" TargetMode="External" Id="rId257"/><Relationship Type="http://schemas.openxmlformats.org/officeDocument/2006/relationships/hyperlink" Target="https://help.luma.com/p/integrations" TargetMode="External" Id="rId258"/><Relationship Type="http://schemas.openxmlformats.org/officeDocument/2006/relationships/hyperlink" Target="https://luma.com/pricing" TargetMode="External" Id="rId259"/><Relationship Type="http://schemas.openxmlformats.org/officeDocument/2006/relationships/hyperlink" Target="https://help.luma.com/p/creating-a-paid-event" TargetMode="External" Id="rId260"/><Relationship Type="http://schemas.openxmlformats.org/officeDocument/2006/relationships/hyperlink" Target="https://help.luma.com/p/managing-your-guest-list" TargetMode="External" Id="rId261"/><Relationship Type="http://schemas.openxmlformats.org/officeDocument/2006/relationships/hyperlink" Target="https://help.luma.com/p/luma-vs-eventbrite" TargetMode="External" Id="rId262"/><Relationship Type="http://schemas.openxmlformats.org/officeDocument/2006/relationships/hyperlink" Target="https://help.luma.com/p/case-studies" TargetMode="External" Id="rId263"/><Relationship Type="http://schemas.openxmlformats.org/officeDocument/2006/relationships/hyperlink" Target="https://luma.com/pricing" TargetMode="External" Id="rId264"/><Relationship Type="http://schemas.openxmlformats.org/officeDocument/2006/relationships/hyperlink" Target="https://help.luma.com/p/discovering-events" TargetMode="External" Id="rId265"/><Relationship Type="http://schemas.openxmlformats.org/officeDocument/2006/relationships/hyperlink" Target="https://help.luma.com/p/managing-calendar-contacts" TargetMode="External" Id="rId266"/><Relationship Type="http://schemas.openxmlformats.org/officeDocument/2006/relationships/hyperlink" Target="https://help.luma.com/p/unlock-codes" TargetMode="External" Id="rId267"/><Relationship Type="http://schemas.openxmlformats.org/officeDocument/2006/relationships/hyperlink" Target="https://help.luma.com/p/managing-calendar-contacts" TargetMode="External" Id="rId268"/><Relationship Type="http://schemas.openxmlformats.org/officeDocument/2006/relationships/hyperlink" Target="https://help.luma.com/p/managing-calendar-contacts" TargetMode="External" Id="rId269"/><Relationship Type="http://schemas.openxmlformats.org/officeDocument/2006/relationships/hyperlink" Target="https://help.luma.com/p/collect-feedback-from-your-event-guests" TargetMode="External" Id="rId270"/><Relationship Type="http://schemas.openxmlformats.org/officeDocument/2006/relationships/hyperlink" Target="https://help.luma.com/p/event-chat" TargetMode="External" Id="rId271"/><Relationship Type="http://schemas.openxmlformats.org/officeDocument/2006/relationships/hyperlink" Target="https://help.luma.com/p/signing-in" TargetMode="External" Id="rId272"/><Relationship Type="http://schemas.openxmlformats.org/officeDocument/2006/relationships/hyperlink" Target="https://help.luma.com/p/send-limits" TargetMode="External" Id="rId273"/><Relationship Type="http://schemas.openxmlformats.org/officeDocument/2006/relationships/hyperlink" Target="https://help.luma.com/p/blocking-users" TargetMode="External" Id="rId274"/><Relationship Type="http://schemas.openxmlformats.org/officeDocument/2006/relationships/hyperlink" Target="https://help.luma.com/p/refunding-a-guest" TargetMode="External" Id="rId275"/><Relationship Type="http://schemas.openxmlformats.org/officeDocument/2006/relationships/hyperlink" Target="https://help.luma.com/p/event-guest-list" TargetMode="External" Id="rId276"/><Relationship Type="http://schemas.openxmlformats.org/officeDocument/2006/relationships/hyperlink" Target="https://help.luma.com/p/featuring-your-event-on-luma" TargetMode="External" Id="rId277"/><Relationship Type="http://schemas.openxmlformats.org/officeDocument/2006/relationships/hyperlink" Target="https://help.luma.com/p/collect-registration-questions" TargetMode="External" Id="rId278"/><Relationship Type="http://schemas.openxmlformats.org/officeDocument/2006/relationships/hyperlink" Target="https://help.luma.com/p/collect-registration-questions" TargetMode="External" Id="rId279"/><Relationship Type="http://schemas.openxmlformats.org/officeDocument/2006/relationships/hyperlink" Target="https://help.luma.com/p/setting-up-ticket-types" TargetMode="External" Id="rId280"/><Relationship Type="http://schemas.openxmlformats.org/officeDocument/2006/relationships/hyperlink" Target="https://luma.com/pricing" TargetMode="External" Id="rId281"/><Relationship Type="http://schemas.openxmlformats.org/officeDocument/2006/relationships/hyperlink" Target="https://luma.com/pricing" TargetMode="External" Id="rId282"/><Relationship Type="http://schemas.openxmlformats.org/officeDocument/2006/relationships/hyperlink" Target="https://help.luma.com/p/setting-up-ticket-types" TargetMode="External" Id="rId283"/><Relationship Type="http://schemas.openxmlformats.org/officeDocument/2006/relationships/hyperlink" Target="https://help.luma.com/p/create-coupons-for-paid-events" TargetMode="External" Id="rId284"/><Relationship Type="http://schemas.openxmlformats.org/officeDocument/2006/relationships/hyperlink" Target="https://help.luma.com/p/calendar-memberships" TargetMode="External" Id="rId285"/><Relationship Type="http://schemas.openxmlformats.org/officeDocument/2006/relationships/hyperlink" Target="https://help.partiful.com/en-us/articles/15525566-how-can-i-change-my-location-for-the-partiful-explore-page" TargetMode="External" Id="rId286"/><Relationship Type="http://schemas.openxmlformats.org/officeDocument/2006/relationships/hyperlink" Target="https://help.partiful.com/en-us/articles/15525568-what-is-the-partiful-explore-page" TargetMode="External" Id="rId287"/><Relationship Type="http://schemas.openxmlformats.org/officeDocument/2006/relationships/hyperlink" Target="https://help.partiful.com/en-us/articles/15525563-what-is-a-public-event" TargetMode="External" Id="rId288"/><Relationship Type="http://schemas.openxmlformats.org/officeDocument/2006/relationships/hyperlink" Target="https://help.partiful.com/en-us/articles/15525563-what-is-a-public-event" TargetMode="External" Id="rId289"/><Relationship Type="http://schemas.openxmlformats.org/officeDocument/2006/relationships/hyperlink" Target="https://partiful.com/blog/post/heres-how-to-actually-grow-your-audience" TargetMode="External" Id="rId290"/><Relationship Type="http://schemas.openxmlformats.org/officeDocument/2006/relationships/hyperlink" Target="https://help.partiful.com/en-us/articles/15525328-do-my-guests-need-to-download-the-app" TargetMode="External" Id="rId291"/><Relationship Type="http://schemas.openxmlformats.org/officeDocument/2006/relationships/hyperlink" Target="https://help.partiful.com/en-us/articles/15525626-i-m-not-receiving-the-text-verification-codes-to-log-in" TargetMode="External" Id="rId292"/><Relationship Type="http://schemas.openxmlformats.org/officeDocument/2006/relationships/hyperlink" Target="https://help.partiful.com/en-us/articles/15525360-how-can-i-use-guest-approval-and-waitlist-at-the-same-time" TargetMode="External" Id="rId293"/><Relationship Type="http://schemas.openxmlformats.org/officeDocument/2006/relationships/hyperlink" Target="https://help.partiful.com/en-us/articles/15525364-how-does-the-waitlist-move-my-guests-off-of-the-list" TargetMode="External" Id="rId294"/><Relationship Type="http://schemas.openxmlformats.org/officeDocument/2006/relationships/hyperlink" Target="https://help.partiful.com/en-us/articles/15525424-collecting-guest-info-dietary-restrictions-names-of-1s-etc" TargetMode="External" Id="rId295"/><Relationship Type="http://schemas.openxmlformats.org/officeDocument/2006/relationships/hyperlink" Target="https://help.partiful.com/en-us/articles/15525553-can-i-get-a-refund-if-i-can-no-longer-attend" TargetMode="External" Id="rId296"/><Relationship Type="http://schemas.openxmlformats.org/officeDocument/2006/relationships/hyperlink" Target="https://help.partiful.com/en-us/articles/15525658-add-single-event-to-a-calendar" TargetMode="External" Id="rId297"/><Relationship Type="http://schemas.openxmlformats.org/officeDocument/2006/relationships/hyperlink" Target="https://help.partiful.com/en-us/articles/15525436-what-event-reminders-do-you-send" TargetMode="External" Id="rId298"/><Relationship Type="http://schemas.openxmlformats.org/officeDocument/2006/relationships/hyperlink" Target="https://help.partiful.com/en-us/articles/15525340-how-does-check-in-work-for-ticketed-events" TargetMode="External" Id="rId299"/><Relationship Type="http://schemas.openxmlformats.org/officeDocument/2006/relationships/hyperlink" Target="https://help.partiful.com/en-us/articles/15525441-can-i-hide-the-guest-list-or-guest-count-on-the-party-page" TargetMode="External" Id="rId300"/><Relationship Type="http://schemas.openxmlformats.org/officeDocument/2006/relationships/hyperlink" Target="https://help.partiful.com/en-us/articles/15525446-how-do-i-upload-photos-to-my-event-page" TargetMode="External" Id="rId301"/><Relationship Type="http://schemas.openxmlformats.org/officeDocument/2006/relationships/hyperlink" Target="https://partiful.com/ticketing" TargetMode="External" Id="rId302"/><Relationship Type="http://schemas.openxmlformats.org/officeDocument/2006/relationships/hyperlink" Target="https://partiful.com/" TargetMode="External" Id="rId303"/><Relationship Type="http://schemas.openxmlformats.org/officeDocument/2006/relationships/hyperlink" Target="https://help.partiful.com/en-us/articles/15525322-how-many-people-can-my-guests-invite-to-my-event" TargetMode="External" Id="rId304"/><Relationship Type="http://schemas.openxmlformats.org/officeDocument/2006/relationships/hyperlink" Target="https://help.partiful.com/en-us/articles/15525668-how-can-i-invite-my-phone-contacts" TargetMode="External" Id="rId305"/><Relationship Type="http://schemas.openxmlformats.org/officeDocument/2006/relationships/hyperlink" Target="https://help.partiful.com/en-us/articles/15525441-can-i-hide-the-guest-list-or-guest-count-on-the-party-page" TargetMode="External" Id="rId306"/><Relationship Type="http://schemas.openxmlformats.org/officeDocument/2006/relationships/hyperlink" Target="https://help.partiful.com/en-us/articles/15525327-how-do-i-generate-a-qr-code-that-i-can-use-to-share-my-event" TargetMode="External" Id="rId307"/><Relationship Type="http://schemas.openxmlformats.org/officeDocument/2006/relationships/hyperlink" Target="https://partiful.com/" TargetMode="External" Id="rId308"/><Relationship Type="http://schemas.openxmlformats.org/officeDocument/2006/relationships/hyperlink" Target="https://help.partiful.com/en-us/articles/15525373-can-i-set-up-recurring-events" TargetMode="External" Id="rId309"/><Relationship Type="http://schemas.openxmlformats.org/officeDocument/2006/relationships/hyperlink" Target="https://help.partiful.com/en-us/articles/15525563-what-is-a-public-event" TargetMode="External" Id="rId310"/><Relationship Type="http://schemas.openxmlformats.org/officeDocument/2006/relationships/hyperlink" Target="https://help.partiful.com/en-us/articles/15525429-how-do-i-make-someone-a-cohost-or-become-a-cohost" TargetMode="External" Id="rId311"/><Relationship Type="http://schemas.openxmlformats.org/officeDocument/2006/relationships/hyperlink" Target="https://help.partiful.com/en-us/articles/15525376-how-can-i-export-my-guest-list" TargetMode="External" Id="rId312"/><Relationship Type="http://schemas.openxmlformats.org/officeDocument/2006/relationships/hyperlink" Target="https://help.partiful.com/en-us/articles/15525387-who-can-i-send-text-blasts-to" TargetMode="External" Id="rId313"/><Relationship Type="http://schemas.openxmlformats.org/officeDocument/2006/relationships/hyperlink" Target="https://help.partiful.com/en-us/articles/15525340-how-does-check-in-work-for-ticketed-events" TargetMode="External" Id="rId314"/><Relationship Type="http://schemas.openxmlformats.org/officeDocument/2006/relationships/hyperlink" Target="https://help.partiful.com/en-us/articles/15525384-when-do-i-get-paid" TargetMode="External" Id="rId315"/><Relationship Type="http://schemas.openxmlformats.org/officeDocument/2006/relationships/hyperlink" Target="https://help.partiful.com/en-us/articles/15525382-how-do-i-track-my-revenue" TargetMode="External" Id="rId316"/><Relationship Type="http://schemas.openxmlformats.org/officeDocument/2006/relationships/hyperlink" Target="https://partiful.com/org-profiles" TargetMode="External" Id="rId317"/><Relationship Type="http://schemas.openxmlformats.org/officeDocument/2006/relationships/hyperlink" Target="https://help.partiful.com/en-us/articles/15525654-how-can-i-customize-my-calendar-sync-settings" TargetMode="External" Id="rId318"/><Relationship Type="http://schemas.openxmlformats.org/officeDocument/2006/relationships/hyperlink" Target="https://help.partiful.com/en-us/articles/15525405-are-there-fees-for-free-events" TargetMode="External" Id="rId319"/><Relationship Type="http://schemas.openxmlformats.org/officeDocument/2006/relationships/hyperlink" Target="https://help.partiful.com/en-us/articles/15525399-who-pays-the-ticket-service-fee" TargetMode="External" Id="rId320"/><Relationship Type="http://schemas.openxmlformats.org/officeDocument/2006/relationships/hyperlink" Target="https://help.partiful.com/en-us/articles/15525376-how-can-i-export-my-guest-list" TargetMode="External" Id="rId321"/><Relationship Type="http://schemas.openxmlformats.org/officeDocument/2006/relationships/hyperlink" Target="https://partiful.com/blog/post/heres-how-to-actually-grow-your-audience" TargetMode="External" Id="rId322"/><Relationship Type="http://schemas.openxmlformats.org/officeDocument/2006/relationships/hyperlink" Target="https://help.partiful.com/en-us/articles/15525549-what-are-mutuals" TargetMode="External" Id="rId323"/><Relationship Type="http://schemas.openxmlformats.org/officeDocument/2006/relationships/hyperlink" Target="https://help.partiful.com/en-us/articles/15525381-how-do-i-duplicate-an-event" TargetMode="External" Id="rId324"/><Relationship Type="http://schemas.openxmlformats.org/officeDocument/2006/relationships/hyperlink" Target="https://help.partiful.com/en-us/articles/15525329-can-i-save-my-guests-to-different-lists-groups" TargetMode="External" Id="rId325"/><Relationship Type="http://schemas.openxmlformats.org/officeDocument/2006/relationships/hyperlink" Target="https://help.partiful.com/en-us/articles/15525633-can-i-hide-which-events-i-ve-attended-from-other-users" TargetMode="External" Id="rId326"/><Relationship Type="http://schemas.openxmlformats.org/officeDocument/2006/relationships/hyperlink" Target="https://partiful.com/" TargetMode="External" Id="rId327"/><Relationship Type="http://schemas.openxmlformats.org/officeDocument/2006/relationships/hyperlink" Target="https://help.partiful.com/en-us/articles/15525626-i-m-not-receiving-the-text-verification-codes-to-log-in" TargetMode="External" Id="rId328"/><Relationship Type="http://schemas.openxmlformats.org/officeDocument/2006/relationships/hyperlink" Target="https://help.partiful.com/en-us/articles/15525537-how-do-i-report-an-event" TargetMode="External" Id="rId329"/><Relationship Type="http://schemas.openxmlformats.org/officeDocument/2006/relationships/hyperlink" Target="https://help.partiful.com/en-us/articles/15525401-what-is-your-refund-policy" TargetMode="External" Id="rId330"/><Relationship Type="http://schemas.openxmlformats.org/officeDocument/2006/relationships/hyperlink" Target="https://help.partiful.com/en-us/articles/15525441-can-i-hide-the-guest-list-or-guest-count-on-the-party-page" TargetMode="External" Id="rId331"/><Relationship Type="http://schemas.openxmlformats.org/officeDocument/2006/relationships/hyperlink" Target="https://help.partiful.com/en-us/articles/16825273-why-can-t-i-link-out-to-promote-events-on-other-platforms" TargetMode="External" Id="rId332"/><Relationship Type="http://schemas.openxmlformats.org/officeDocument/2006/relationships/hyperlink" Target="https://help.partiful.com/en-us/articles/15525424-collecting-guest-info-dietary-restrictions-names-of-1s-etc" TargetMode="External" Id="rId333"/><Relationship Type="http://schemas.openxmlformats.org/officeDocument/2006/relationships/hyperlink" Target="https://help.partiful.com/en-us/articles/15525424-collecting-guest-info-dietary-restrictions-names-of-1s-etc" TargetMode="External" Id="rId334"/><Relationship Type="http://schemas.openxmlformats.org/officeDocument/2006/relationships/hyperlink" Target="https://help.partiful.com/en-us/articles/15525460-how-do-i-use-the-chip-in-feature" TargetMode="External" Id="rId335"/><Relationship Type="http://schemas.openxmlformats.org/officeDocument/2006/relationships/hyperlink" Target="https://help.partiful.com/en-us/articles/15525379-how-can-i-limit-group-size" TargetMode="External" Id="rId336"/><Relationship Type="http://schemas.openxmlformats.org/officeDocument/2006/relationships/hyperlink" Target="https://help.partiful.com/en-us/articles/15525398-what-fees-does-partiful-charge" TargetMode="External" Id="rId337"/><Relationship Type="http://schemas.openxmlformats.org/officeDocument/2006/relationships/hyperlink" Target="https://help.partiful.com/en-us/articles/15525599-does-partiful-cost-money" TargetMode="External" Id="rId338"/><Relationship Type="http://schemas.openxmlformats.org/officeDocument/2006/relationships/hyperlink" Target="https://help.partiful.com/en-us/articles/15525460-how-do-i-use-the-chip-in-feature" TargetMode="External" Id="rId339"/><Relationship Type="http://schemas.openxmlformats.org/officeDocument/2006/relationships/hyperlink" Target="https://help.partiful.com/en-us/articles/15525305-how-do-i-create-a-promo-code" TargetMode="External" Id="rId340"/><Relationship Type="http://schemas.openxmlformats.org/officeDocument/2006/relationships/hyperlink" Target="https://support.posh.vip/en/articles/10723772-your-guide-to-posh-app-search" TargetMode="External" Id="rId341"/><Relationship Type="http://schemas.openxmlformats.org/officeDocument/2006/relationships/hyperlink" Target="https://posh.vip/explore" TargetMode="External" Id="rId342"/><Relationship Type="http://schemas.openxmlformats.org/officeDocument/2006/relationships/hyperlink" Target="https://support.posh.vip/en/articles/12460155-discover-more-with-the-new-home-tab" TargetMode="External" Id="rId343"/><Relationship Type="http://schemas.openxmlformats.org/officeDocument/2006/relationships/hyperlink" Target="https://support.posh.vip/en/articles/12460155-discover-more-with-the-new-home-tab" TargetMode="External" Id="rId344"/><Relationship Type="http://schemas.openxmlformats.org/officeDocument/2006/relationships/hyperlink" Target="https://support.posh.vip/en/articles/10723770-unfollow-users-and-organizers" TargetMode="External" Id="rId345"/><Relationship Type="http://schemas.openxmlformats.org/officeDocument/2006/relationships/hyperlink" Target="https://support.posh.vip/en/articles/10723771-retrieve-your-saved-events-with-ease" TargetMode="External" Id="rId346"/><Relationship Type="http://schemas.openxmlformats.org/officeDocument/2006/relationships/hyperlink" Target="https://posh.vip/explore" TargetMode="External" Id="rId347"/><Relationship Type="http://schemas.openxmlformats.org/officeDocument/2006/relationships/hyperlink" Target="https://support.posh.vip/en/articles/12460155-discover-more-with-the-new-home-tab" TargetMode="External" Id="rId348"/><Relationship Type="http://schemas.openxmlformats.org/officeDocument/2006/relationships/hyperlink" Target="https://support.posh.vip/en/articles/10723762-how-to-purchase-tickets-with-posh" TargetMode="External" Id="rId349"/><Relationship Type="http://schemas.openxmlformats.org/officeDocument/2006/relationships/hyperlink" Target="https://support.posh.vip/en/articles/12005810-getting-started-on-posh-create-an-account-log-in" TargetMode="External" Id="rId350"/><Relationship Type="http://schemas.openxmlformats.org/officeDocument/2006/relationships/hyperlink" Target="https://support.posh.vip/en/articles/15075671-ticket-management-creating-ticket-tiers-groups-and-advanced-toggles" TargetMode="External" Id="rId351"/><Relationship Type="http://schemas.openxmlformats.org/officeDocument/2006/relationships/hyperlink" Target="https://support.posh.vip/en/articles/12063814-waitlist-setup-guide-for-organizers" TargetMode="External" Id="rId352"/><Relationship Type="http://schemas.openxmlformats.org/officeDocument/2006/relationships/hyperlink" Target="https://support.posh.vip/en/articles/15076421-checkout-settings-customize-the-attendee-s-experience" TargetMode="External" Id="rId353"/><Relationship Type="http://schemas.openxmlformats.org/officeDocument/2006/relationships/hyperlink" Target="https://support.posh.vip/en/articles/10723777-how-to-request-ticket-refunds" TargetMode="External" Id="rId354"/><Relationship Type="http://schemas.openxmlformats.org/officeDocument/2006/relationships/hyperlink" Target="https://support.posh.vip/en/articles/15076421-checkout-settings-customize-the-attendee-s-experience" TargetMode="External" Id="rId355"/><Relationship Type="http://schemas.openxmlformats.org/officeDocument/2006/relationships/hyperlink" Target="https://support.posh.vip/en/articles/15089436-sms-campaigns-messaging-guidelines-best-practices" TargetMode="External" Id="rId356"/><Relationship Type="http://schemas.openxmlformats.org/officeDocument/2006/relationships/hyperlink" Target="https://support.posh.vip/en/articles/15090296-scanning-tickets-in-posh-two-ways-to-run-your-event-door" TargetMode="External" Id="rId357"/><Relationship Type="http://schemas.openxmlformats.org/officeDocument/2006/relationships/hyperlink" Target="https://support.posh.vip/en/articles/10723775-take-control-of-your-privacy-settings" TargetMode="External" Id="rId358"/><Relationship Type="http://schemas.openxmlformats.org/officeDocument/2006/relationships/hyperlink" Target="https://support.posh.vip/en/articles/15089436-sms-campaigns-messaging-guidelines-best-practices" TargetMode="External" Id="rId359"/><Relationship Type="http://schemas.openxmlformats.org/officeDocument/2006/relationships/hyperlink" Target="https://posh.vip/" TargetMode="External" Id="rId360"/><Relationship Type="http://schemas.openxmlformats.org/officeDocument/2006/relationships/hyperlink" Target="https://posh.vip/" TargetMode="External" Id="rId361"/><Relationship Type="http://schemas.openxmlformats.org/officeDocument/2006/relationships/hyperlink" Target="https://posh.vip/university/post/a-guide-to-kickback-at-posh" TargetMode="External" Id="rId362"/><Relationship Type="http://schemas.openxmlformats.org/officeDocument/2006/relationships/hyperlink" Target="https://posh.vip/university/post/a-guide-to-kickback-at-posh" TargetMode="External" Id="rId363"/><Relationship Type="http://schemas.openxmlformats.org/officeDocument/2006/relationships/hyperlink" Target="https://fortune.com/2026/03/19/exclusive-posh-lands-37m-series-b-what-are-we-doing-tonight-problem/" TargetMode="External" Id="rId364"/><Relationship Type="http://schemas.openxmlformats.org/officeDocument/2006/relationships/hyperlink" Target="https://posh.vip/" TargetMode="External" Id="rId365"/><Relationship Type="http://schemas.openxmlformats.org/officeDocument/2006/relationships/hyperlink" Target="https://support.posh.vip/en/articles/15076349-set-up-ad-tracking-pixels-and-promote-your-event" TargetMode="External" Id="rId366"/><Relationship Type="http://schemas.openxmlformats.org/officeDocument/2006/relationships/hyperlink" Target="https://support.posh.vip/en/articles/15076421-checkout-settings-customize-the-attendee-s-experience" TargetMode="External" Id="rId367"/><Relationship Type="http://schemas.openxmlformats.org/officeDocument/2006/relationships/hyperlink" Target="https://support.posh.vip/en/articles/15089963-creating-customizing-and-managing-your-posh-events-the-complete-guide" TargetMode="External" Id="rId368"/><Relationship Type="http://schemas.openxmlformats.org/officeDocument/2006/relationships/hyperlink" Target="https://support.posh.vip/en/articles/15090389-managing-your-posh-event-series-and-recurring-lineups" TargetMode="External" Id="rId369"/><Relationship Type="http://schemas.openxmlformats.org/officeDocument/2006/relationships/hyperlink" Target="https://support.posh.vip/en/articles/15089963-creating-customizing-and-managing-your-posh-events-the-complete-guide" TargetMode="External" Id="rId370"/><Relationship Type="http://schemas.openxmlformats.org/officeDocument/2006/relationships/hyperlink" Target="https://support.posh.vip/en/articles/15090297-adding-team-members-and-managing-permissions" TargetMode="External" Id="rId371"/><Relationship Type="http://schemas.openxmlformats.org/officeDocument/2006/relationships/hyperlink" Target="https://support.posh.vip/en/articles/15267292-export-event-report-downloading-your-attendee-info" TargetMode="External" Id="rId372"/><Relationship Type="http://schemas.openxmlformats.org/officeDocument/2006/relationships/hyperlink" Target="https://support.posh.vip/en/articles/15089436-sms-campaigns-messaging-guidelines-best-practices" TargetMode="External" Id="rId373"/><Relationship Type="http://schemas.openxmlformats.org/officeDocument/2006/relationships/hyperlink" Target="https://support.posh.vip/en/articles/15090296-scanning-tickets-in-posh-two-ways-to-run-your-event-door" TargetMode="External" Id="rId374"/><Relationship Type="http://schemas.openxmlformats.org/officeDocument/2006/relationships/hyperlink" Target="https://support.posh.vip/en/articles/15090213-managing-your-balance-payouts-bank-accounts" TargetMode="External" Id="rId375"/><Relationship Type="http://schemas.openxmlformats.org/officeDocument/2006/relationships/hyperlink" Target="https://support.posh.vip/en/articles/15089965-tracking-performance-analyzing-brand-event-analytics" TargetMode="External" Id="rId376"/><Relationship Type="http://schemas.openxmlformats.org/officeDocument/2006/relationships/hyperlink" Target="https://support.posh.vip/en/articles/15091575-managing-your-organization-settings-public-profiles" TargetMode="External" Id="rId377"/><Relationship Type="http://schemas.openxmlformats.org/officeDocument/2006/relationships/hyperlink" Target="https://support.posh.vip/en/articles/15091630-mailchimp-webhooks-connecting-external-tools" TargetMode="External" Id="rId378"/><Relationship Type="http://schemas.openxmlformats.org/officeDocument/2006/relationships/hyperlink" Target="https://posh.vip/university/post/posh-vs-dice" TargetMode="External" Id="rId379"/><Relationship Type="http://schemas.openxmlformats.org/officeDocument/2006/relationships/hyperlink" Target="https://support.posh.vip/en/articles/15267292-export-event-report-downloading-your-attendee-info" TargetMode="External" Id="rId380"/><Relationship Type="http://schemas.openxmlformats.org/officeDocument/2006/relationships/hyperlink" Target="https://posh.vip/university/post/switching-from-eventbrite-to-posh" TargetMode="External" Id="rId381"/><Relationship Type="http://schemas.openxmlformats.org/officeDocument/2006/relationships/hyperlink" Target="https://support.posh.vip/en/articles/15091893-organizer-affiliate-program-earn-commissions-by-inviting-event-creators" TargetMode="External" Id="rId382"/><Relationship Type="http://schemas.openxmlformats.org/officeDocument/2006/relationships/hyperlink" Target="https://posh.vip/university" TargetMode="External" Id="rId383"/><Relationship Type="http://schemas.openxmlformats.org/officeDocument/2006/relationships/hyperlink" Target="https://support.posh.vip/en/articles/15076349-set-up-ad-tracking-pixels-and-promote-your-event" TargetMode="External" Id="rId384"/><Relationship Type="http://schemas.openxmlformats.org/officeDocument/2006/relationships/hyperlink" Target="https://support.posh.vip/en/articles/15089436-sms-campaigns-messaging-guidelines-best-practices" TargetMode="External" Id="rId385"/><Relationship Type="http://schemas.openxmlformats.org/officeDocument/2006/relationships/hyperlink" Target="https://support.posh.vip/en/articles/15075671-ticket-management-creating-ticket-tiers-groups-and-advanced-toggles" TargetMode="External" Id="rId386"/><Relationship Type="http://schemas.openxmlformats.org/officeDocument/2006/relationships/hyperlink" Target="https://support.posh.vip/en/articles/15089436-sms-campaigns-messaging-guidelines-best-practices" TargetMode="External" Id="rId387"/><Relationship Type="http://schemas.openxmlformats.org/officeDocument/2006/relationships/hyperlink" Target="https://support.posh.vip/en/articles/10723775-take-control-of-your-privacy-settings" TargetMode="External" Id="rId388"/><Relationship Type="http://schemas.openxmlformats.org/officeDocument/2006/relationships/hyperlink" Target="https://support.posh.vip/en/articles/10723761-how-to-contact-your-event-organizer" TargetMode="External" Id="rId389"/><Relationship Type="http://schemas.openxmlformats.org/officeDocument/2006/relationships/hyperlink" Target="https://support.posh.vip/en/articles/12005810-getting-started-on-posh-create-an-account-log-in" TargetMode="External" Id="rId390"/><Relationship Type="http://schemas.openxmlformats.org/officeDocument/2006/relationships/hyperlink" Target="https://support.posh.vip/en/articles/15091575-managing-your-organization-settings-public-profiles" TargetMode="External" Id="rId391"/><Relationship Type="http://schemas.openxmlformats.org/officeDocument/2006/relationships/hyperlink" Target="https://support.posh.vip/en/articles/10723769-blocking-users" TargetMode="External" Id="rId392"/><Relationship Type="http://schemas.openxmlformats.org/officeDocument/2006/relationships/hyperlink" Target="https://support.posh.vip/en/articles/10723777-how-to-request-ticket-refunds" TargetMode="External" Id="rId393"/><Relationship Type="http://schemas.openxmlformats.org/officeDocument/2006/relationships/hyperlink" Target="https://support.posh.vip/en/articles/10723775-take-control-of-your-privacy-settings" TargetMode="External" Id="rId394"/><Relationship Type="http://schemas.openxmlformats.org/officeDocument/2006/relationships/hyperlink" Target="https://support.posh.vip/en/articles/17299835-third-party-links-list-your-event-elsewhere-share-them-on-posh" TargetMode="External" Id="rId395"/><Relationship Type="http://schemas.openxmlformats.org/officeDocument/2006/relationships/hyperlink" Target="https://support.posh.vip/en/articles/15076421-checkout-settings-customize-the-attendee-s-experience" TargetMode="External" Id="rId396"/><Relationship Type="http://schemas.openxmlformats.org/officeDocument/2006/relationships/hyperlink" Target="https://support.posh.vip/en/articles/15076421-checkout-settings-customize-the-attendee-s-experience" TargetMode="External" Id="rId397"/><Relationship Type="http://schemas.openxmlformats.org/officeDocument/2006/relationships/hyperlink" Target="https://support.posh.vip/en/articles/15255266-offering-table-service-creating-your-seating-map" TargetMode="External" Id="rId398"/><Relationship Type="http://schemas.openxmlformats.org/officeDocument/2006/relationships/hyperlink" Target="https://support.posh.vip/en/articles/15255266-offering-table-service-creating-your-seating-map" TargetMode="External" Id="rId399"/><Relationship Type="http://schemas.openxmlformats.org/officeDocument/2006/relationships/hyperlink" Target="https://support.posh.vip/en/articles/15075671-ticket-management-creating-ticket-tiers-groups-and-advanced-toggles" TargetMode="External" Id="rId400"/><Relationship Type="http://schemas.openxmlformats.org/officeDocument/2006/relationships/hyperlink" Target="https://posh.vip/university/post/posh-vs-dice" TargetMode="External" Id="rId401"/><Relationship Type="http://schemas.openxmlformats.org/officeDocument/2006/relationships/hyperlink" Target="https://support.posh.vip/en/articles/15075838-ticket-promotions-hospitality-guest-lists-comps-and-promo-codes" TargetMode="External" Id="rId402"/><Relationship Type="http://schemas.openxmlformats.org/officeDocument/2006/relationships/hyperlink" Target="https://support.posh.vip/en/articles/10723760-start-earning-with-posh-kickback-program" TargetMode="External" Id="rId403"/><Relationship Type="http://schemas.openxmlformats.org/officeDocument/2006/relationships/hyperlink" Target="https://peatix.com/search?q=%E9%A3%9F%E4%BA%8B%E4%BC%9A&amp;country=JP" TargetMode="External" Id="rId404"/><Relationship Type="http://schemas.openxmlformats.org/officeDocument/2006/relationships/hyperlink" Target="https://peatix.com/search?q=%E9%A3%9F%E4%BA%8B%E4%BC%9A&amp;country=JP" TargetMode="External" Id="rId405"/><Relationship Type="http://schemas.openxmlformats.org/officeDocument/2006/relationships/hyperlink" Target="https://peatix.com/search?q=%E9%A3%9F%E4%BA%8B%E4%BC%9A&amp;country=JP" TargetMode="External" Id="rId406"/><Relationship Type="http://schemas.openxmlformats.org/officeDocument/2006/relationships/hyperlink" Target="https://learning.peatix.com/ja/how-to-use/free-customer-attraction" TargetMode="External" Id="rId407"/><Relationship Type="http://schemas.openxmlformats.org/officeDocument/2006/relationships/hyperlink" Target="https://peatix.com/group/16556640" TargetMode="External" Id="rId408"/><Relationship Type="http://schemas.openxmlformats.org/officeDocument/2006/relationships/hyperlink" Target="https://help-attendee.peatix.com/en/support/solutions/articles/44002476895-about-the-watch-list-feature" TargetMode="External" Id="rId409"/><Relationship Type="http://schemas.openxmlformats.org/officeDocument/2006/relationships/hyperlink" Target="https://peatix.com/event/5191994" TargetMode="External" Id="rId410"/><Relationship Type="http://schemas.openxmlformats.org/officeDocument/2006/relationships/hyperlink" Target="https://learning.peatix.com/ja/" TargetMode="External" Id="rId411"/><Relationship Type="http://schemas.openxmlformats.org/officeDocument/2006/relationships/hyperlink" Target="https://help-attendee.peatix.com/en/support/solutions/articles/44002430435-how-to-create-a-peatix-account" TargetMode="External" Id="rId412"/><Relationship Type="http://schemas.openxmlformats.org/officeDocument/2006/relationships/hyperlink" Target="https://help-attendee.peatix.com/en/support/solutions/articles/44002430435-how-to-create-a-peatix-account" TargetMode="External" Id="rId413"/><Relationship Type="http://schemas.openxmlformats.org/officeDocument/2006/relationships/hyperlink" Target="https://help-organizer.peatix.com/en/support/solutions/articles/44002019732-feature-overview" TargetMode="External" Id="rId414"/><Relationship Type="http://schemas.openxmlformats.org/officeDocument/2006/relationships/hyperlink" Target="https://help-organizer.peatix.com/en/support/solutions/articles/44001821720-how-to-use-a-form-to-collect-information-from-attendees" TargetMode="External" Id="rId415"/><Relationship Type="http://schemas.openxmlformats.org/officeDocument/2006/relationships/hyperlink" Target="https://help-attendee.peatix.com/en/support/solutions/articles/44001822284-how-to-make-ticket-cancellation-requests" TargetMode="External" Id="rId416"/><Relationship Type="http://schemas.openxmlformats.org/officeDocument/2006/relationships/hyperlink" Target="https://peatix.com/event/5191994" TargetMode="External" Id="rId417"/><Relationship Type="http://schemas.openxmlformats.org/officeDocument/2006/relationships/hyperlink" Target="https://learning.peatix.com/ja/how-to-use/sell-more-tickets" TargetMode="External" Id="rId418"/><Relationship Type="http://schemas.openxmlformats.org/officeDocument/2006/relationships/hyperlink" Target="https://help-organizer.peatix.com/en/support/solutions/articles/44001821727-how-to-check-in-attendees" TargetMode="External" Id="rId419"/><Relationship Type="http://schemas.openxmlformats.org/officeDocument/2006/relationships/hyperlink" Target="https://help-organizer.peatix.com/en/support/solutions/articles/44001821716-how-to-create-a-group-an-event-physical-event-" TargetMode="External" Id="rId420"/><Relationship Type="http://schemas.openxmlformats.org/officeDocument/2006/relationships/hyperlink" Target="https://help-organizer.peatix.com/en/support/solutions/articles/44001821756-how-to-send-messages-to-attendees" TargetMode="External" Id="rId421"/><Relationship Type="http://schemas.openxmlformats.org/officeDocument/2006/relationships/hyperlink" Target="https://peatix.com/event/5191994" TargetMode="External" Id="rId422"/><Relationship Type="http://schemas.openxmlformats.org/officeDocument/2006/relationships/hyperlink" Target="https://peatix.com/event/5205318" TargetMode="External" Id="rId423"/><Relationship Type="http://schemas.openxmlformats.org/officeDocument/2006/relationships/hyperlink" Target="https://help-organizer.peatix.com/en/support/solutions/articles/44001821760-about-the-transfer-feature" TargetMode="External" Id="rId424"/><Relationship Type="http://schemas.openxmlformats.org/officeDocument/2006/relationships/hyperlink" Target="https://peatix.com/group/16556640" TargetMode="External" Id="rId425"/><Relationship Type="http://schemas.openxmlformats.org/officeDocument/2006/relationships/hyperlink" Target="https://help-organizer.peatix.com/en/support/solutions/articles/44001821716-how-to-create-a-group-an-event-physical-event-" TargetMode="External" Id="rId426"/><Relationship Type="http://schemas.openxmlformats.org/officeDocument/2006/relationships/hyperlink" Target="https://help-organizer.peatix.com/en/support/solutions/articles/44001821748-how-to-embed-widget-in-an-external-site" TargetMode="External" Id="rId427"/><Relationship Type="http://schemas.openxmlformats.org/officeDocument/2006/relationships/hyperlink" Target="https://help-organizer.peatix.com/en/support/solutions/articles/44002019732-feature-overview" TargetMode="External" Id="rId428"/><Relationship Type="http://schemas.openxmlformats.org/officeDocument/2006/relationships/hyperlink" Target="https://help-organizer.peatix.com/en/support/solutions/articles/44002645658-how-to-create-recurring-events" TargetMode="External" Id="rId429"/><Relationship Type="http://schemas.openxmlformats.org/officeDocument/2006/relationships/hyperlink" Target="https://help-organizer.peatix.com/en/support/solutions/articles/44001821716-how-to-create-a-group-an-event-physical-event-" TargetMode="External" Id="rId430"/><Relationship Type="http://schemas.openxmlformats.org/officeDocument/2006/relationships/hyperlink" Target="https://help-organizer.peatix.com/en/support/solutions/articles/44001821768-how-to-manage-events-with-multiple-users-adding-co-organizers" TargetMode="External" Id="rId431"/><Relationship Type="http://schemas.openxmlformats.org/officeDocument/2006/relationships/hyperlink" Target="https://help-organizer.peatix.com/en/support/solutions/articles/44001821754-how-to-download-the-attendee-list" TargetMode="External" Id="rId432"/><Relationship Type="http://schemas.openxmlformats.org/officeDocument/2006/relationships/hyperlink" Target="https://help-organizer.peatix.com/en/support/solutions/articles/44001821756-how-to-send-messages-to-attendees" TargetMode="External" Id="rId433"/><Relationship Type="http://schemas.openxmlformats.org/officeDocument/2006/relationships/hyperlink" Target="https://help-organizer.peatix.com/en/support/solutions/articles/44001821727-how-to-check-in-attendees" TargetMode="External" Id="rId434"/><Relationship Type="http://schemas.openxmlformats.org/officeDocument/2006/relationships/hyperlink" Target="https://help-organizer.peatix.com/en/support/solutions/articles/44001821780-how-to-receive-the-ticket-sales-for-your-event" TargetMode="External" Id="rId435"/><Relationship Type="http://schemas.openxmlformats.org/officeDocument/2006/relationships/hyperlink" Target="https://help-organizer.peatix.com/en/support/solutions/articles/44002019732-feature-overview" TargetMode="External" Id="rId436"/><Relationship Type="http://schemas.openxmlformats.org/officeDocument/2006/relationships/hyperlink" Target="https://peatix.com/group/16556640" TargetMode="External" Id="rId437"/><Relationship Type="http://schemas.openxmlformats.org/officeDocument/2006/relationships/hyperlink" Target="https://help-organizer.peatix.com/en/support/solutions/articles/44001821717-what-payment-methods-are-available-on-peatix-" TargetMode="External" Id="rId438"/><Relationship Type="http://schemas.openxmlformats.org/officeDocument/2006/relationships/hyperlink" Target="https://help-organizer.peatix.com/en/support/solutions/articles/44001821779-peatix-pricing" TargetMode="External" Id="rId439"/><Relationship Type="http://schemas.openxmlformats.org/officeDocument/2006/relationships/hyperlink" Target="https://help-organizer.peatix.com/en/support/solutions/articles/44001821754-how-to-download-the-attendee-list" TargetMode="External" Id="rId440"/><Relationship Type="http://schemas.openxmlformats.org/officeDocument/2006/relationships/hyperlink" Target="https://internet.watch.impress.co.jp/docs/yajiuma/1229961.html" TargetMode="External" Id="rId441"/><Relationship Type="http://schemas.openxmlformats.org/officeDocument/2006/relationships/hyperlink" Target="https://learning.peatix.com/ja/" TargetMode="External" Id="rId442"/><Relationship Type="http://schemas.openxmlformats.org/officeDocument/2006/relationships/hyperlink" Target="https://services.peatix.com/ja/pricing" TargetMode="External" Id="rId443"/><Relationship Type="http://schemas.openxmlformats.org/officeDocument/2006/relationships/hyperlink" Target="https://eventsalon.peatix.com/" TargetMode="External" Id="rId444"/><Relationship Type="http://schemas.openxmlformats.org/officeDocument/2006/relationships/hyperlink" Target="https://learning.peatix.com/ja/how-to-use/free-customer-attraction" TargetMode="External" Id="rId445"/><Relationship Type="http://schemas.openxmlformats.org/officeDocument/2006/relationships/hyperlink" Target="https://services.peatix.com/ja" TargetMode="External" Id="rId446"/><Relationship Type="http://schemas.openxmlformats.org/officeDocument/2006/relationships/hyperlink" Target="https://help-organizer.peatix.com/en/support/solutions/articles/44001821756-how-to-send-messages-to-attendees" TargetMode="External" Id="rId447"/><Relationship Type="http://schemas.openxmlformats.org/officeDocument/2006/relationships/hyperlink" Target="https://learning.peatix.com/ja/how-to-use/member-lounge" TargetMode="External" Id="rId448"/><Relationship Type="http://schemas.openxmlformats.org/officeDocument/2006/relationships/hyperlink" Target="https://learning.peatix.com/ja/how-to-use/free-customer-attraction" TargetMode="External" Id="rId449"/><Relationship Type="http://schemas.openxmlformats.org/officeDocument/2006/relationships/hyperlink" Target="https://help-organizer.peatix.com/en/support/solutions/folders/44001221694" TargetMode="External" Id="rId450"/><Relationship Type="http://schemas.openxmlformats.org/officeDocument/2006/relationships/hyperlink" Target="https://help-attendee.peatix.com/en/support/solutions/articles/44001822284-how-to-make-ticket-cancellation-requests" TargetMode="External" Id="rId451"/><Relationship Type="http://schemas.openxmlformats.org/officeDocument/2006/relationships/hyperlink" Target="https://help-organizer.peatix.com/en/support/solutions/articles/44001821716-how-to-create-a-group-an-event-physical-event-" TargetMode="External" Id="rId452"/><Relationship Type="http://schemas.openxmlformats.org/officeDocument/2006/relationships/hyperlink" Target="https://help-organizer.peatix.com/en/support/solutions/articles/44001821720-how-to-use-a-form-to-collect-information-from-attendees" TargetMode="External" Id="rId453"/><Relationship Type="http://schemas.openxmlformats.org/officeDocument/2006/relationships/hyperlink" Target="https://help-organizer.peatix.com/en/support/solutions/articles/44001821720-how-to-use-a-form-to-collect-information-from-attendees" TargetMode="External" Id="rId454"/><Relationship Type="http://schemas.openxmlformats.org/officeDocument/2006/relationships/hyperlink" Target="https://peatix.com/event/5191994" TargetMode="External" Id="rId455"/><Relationship Type="http://schemas.openxmlformats.org/officeDocument/2006/relationships/hyperlink" Target="https://help-organizer.peatix.com/en/support/solutions/articles/44001821716-how-to-create-a-group-an-event-physical-event-" TargetMode="External" Id="rId456"/><Relationship Type="http://schemas.openxmlformats.org/officeDocument/2006/relationships/hyperlink" Target="https://help-organizer.peatix.com/en/support/solutions/articles/44001821779-peatix-pricing" TargetMode="External" Id="rId457"/><Relationship Type="http://schemas.openxmlformats.org/officeDocument/2006/relationships/hyperlink" Target="https://services.peatix.com/ja/pricing" TargetMode="External" Id="rId458"/><Relationship Type="http://schemas.openxmlformats.org/officeDocument/2006/relationships/hyperlink" Target="https://help-organizer.peatix.com/en/support/solutions/articles/44001821716-how-to-create-a-group-an-event-physical-event-" TargetMode="External" Id="rId459"/><Relationship Type="http://schemas.openxmlformats.org/officeDocument/2006/relationships/hyperlink" Target="https://services.peatix.com/ja/subscription" TargetMode="External" Id="rId460"/><Relationship Type="http://schemas.openxmlformats.org/officeDocument/2006/relationships/hyperlink" Target="https://www.doorkeeper.jp/events?q=%E9%A3%9F%E4%BA%8B" TargetMode="External" Id="rId461"/><Relationship Type="http://schemas.openxmlformats.org/officeDocument/2006/relationships/hyperlink" Target="https://www.doorkeeper.jp/events/recently_published" TargetMode="External" Id="rId462"/><Relationship Type="http://schemas.openxmlformats.org/officeDocument/2006/relationships/hyperlink" Target="https://www.doorkeeper.jp/events?q=%E9%A3%9F%E4%BA%8B" TargetMode="External" Id="rId463"/><Relationship Type="http://schemas.openxmlformats.org/officeDocument/2006/relationships/hyperlink" Target="https://support.doorkeeper.jp/article/34-promotion" TargetMode="External" Id="rId464"/><Relationship Type="http://schemas.openxmlformats.org/officeDocument/2006/relationships/hyperlink" Target="https://www.doorkeeper.jp/how-it-works" TargetMode="External" Id="rId465"/><Relationship Type="http://schemas.openxmlformats.org/officeDocument/2006/relationships/hyperlink" Target="https://www.doorkeeper.jp/topics" TargetMode="External" Id="rId466"/><Relationship Type="http://schemas.openxmlformats.org/officeDocument/2006/relationships/hyperlink" Target="https://support.doorkeeper.jp/article/34-promotion" TargetMode="External" Id="rId467"/><Relationship Type="http://schemas.openxmlformats.org/officeDocument/2006/relationships/hyperlink" Target="https://www.doorkeeper.jp/features" TargetMode="External" Id="rId468"/><Relationship Type="http://schemas.openxmlformats.org/officeDocument/2006/relationships/hyperlink" Target="https://manage.doorkeeper.jp/user/sign_in" TargetMode="External" Id="rId469"/><Relationship Type="http://schemas.openxmlformats.org/officeDocument/2006/relationships/hyperlink" Target="https://support.doorkeeper.jp/article/86-article" TargetMode="External" Id="rId470"/><Relationship Type="http://schemas.openxmlformats.org/officeDocument/2006/relationships/hyperlink" Target="https://support.doorkeeper.jp/article/70-waitlist" TargetMode="External" Id="rId471"/><Relationship Type="http://schemas.openxmlformats.org/officeDocument/2006/relationships/hyperlink" Target="https://techgym.doorkeeper.jp/events/199857" TargetMode="External" Id="rId472"/><Relationship Type="http://schemas.openxmlformats.org/officeDocument/2006/relationships/hyperlink" Target="https://www.doorkeeper.jp/how-it-works" TargetMode="External" Id="rId473"/><Relationship Type="http://schemas.openxmlformats.org/officeDocument/2006/relationships/hyperlink" Target="https://support.doorkeeper.jp/article/17-cancel-event" TargetMode="External" Id="rId474"/><Relationship Type="http://schemas.openxmlformats.org/officeDocument/2006/relationships/hyperlink" Target="https://techgym.doorkeeper.jp/events/199857" TargetMode="External" Id="rId475"/><Relationship Type="http://schemas.openxmlformats.org/officeDocument/2006/relationships/hyperlink" Target="https://support.doorkeeper.jp/article/31-messages" TargetMode="External" Id="rId476"/><Relationship Type="http://schemas.openxmlformats.org/officeDocument/2006/relationships/hyperlink" Target="https://support.doorkeeper.jp/article/39-checkin-devices" TargetMode="External" Id="rId477"/><Relationship Type="http://schemas.openxmlformats.org/officeDocument/2006/relationships/hyperlink" Target="https://support.doorkeeper.jp/article/67-hide-participation" TargetMode="External" Id="rId478"/><Relationship Type="http://schemas.openxmlformats.org/officeDocument/2006/relationships/hyperlink" Target="https://www.doorkeeper.jp/features" TargetMode="External" Id="rId479"/><Relationship Type="http://schemas.openxmlformats.org/officeDocument/2006/relationships/hyperlink" Target="https://techgym.doorkeeper.jp/events/199857" TargetMode="External" Id="rId480"/><Relationship Type="http://schemas.openxmlformats.org/officeDocument/2006/relationships/hyperlink" Target="https://techgym.doorkeeper.jp/events/199857" TargetMode="External" Id="rId481"/><Relationship Type="http://schemas.openxmlformats.org/officeDocument/2006/relationships/hyperlink" Target="https://www.doorkeeper.jp/how-it-works" TargetMode="External" Id="rId482"/><Relationship Type="http://schemas.openxmlformats.org/officeDocument/2006/relationships/hyperlink" Target="https://www.doorkeeper.jp/features" TargetMode="External" Id="rId483"/><Relationship Type="http://schemas.openxmlformats.org/officeDocument/2006/relationships/hyperlink" Target="https://support.doorkeeper.jp/article/67-hide-participation" TargetMode="External" Id="rId484"/><Relationship Type="http://schemas.openxmlformats.org/officeDocument/2006/relationships/hyperlink" Target="https://www.doorkeeper.jp/features" TargetMode="External" Id="rId485"/><Relationship Type="http://schemas.openxmlformats.org/officeDocument/2006/relationships/hyperlink" Target="https://www.doorkeeper.jp/organizers?locale=ja" TargetMode="External" Id="rId486"/><Relationship Type="http://schemas.openxmlformats.org/officeDocument/2006/relationships/hyperlink" Target="https://www.doorkeeper.jp/how-it-works" TargetMode="External" Id="rId487"/><Relationship Type="http://schemas.openxmlformats.org/officeDocument/2006/relationships/hyperlink" Target="https://support.doorkeeper.jp/article/29-event-flow" TargetMode="External" Id="rId488"/><Relationship Type="http://schemas.openxmlformats.org/officeDocument/2006/relationships/hyperlink" Target="https://www.doorkeeper.jp/news/2023/1/17/new-administrator-privileges" TargetMode="External" Id="rId489"/><Relationship Type="http://schemas.openxmlformats.org/officeDocument/2006/relationships/hyperlink" Target="https://support.doorkeeper.jp/article/27-download-member-data" TargetMode="External" Id="rId490"/><Relationship Type="http://schemas.openxmlformats.org/officeDocument/2006/relationships/hyperlink" Target="https://support.doorkeeper.jp/article/31-messages" TargetMode="External" Id="rId491"/><Relationship Type="http://schemas.openxmlformats.org/officeDocument/2006/relationships/hyperlink" Target="https://support.doorkeeper.jp/article/39-checkin-devices" TargetMode="External" Id="rId492"/><Relationship Type="http://schemas.openxmlformats.org/officeDocument/2006/relationships/hyperlink" Target="https://www.doorkeeper.jp/pricing" TargetMode="External" Id="rId493"/><Relationship Type="http://schemas.openxmlformats.org/officeDocument/2006/relationships/hyperlink" Target="https://www.doorkeeper.jp/features" TargetMode="External" Id="rId494"/><Relationship Type="http://schemas.openxmlformats.org/officeDocument/2006/relationships/hyperlink" Target="https://www.doorkeeper.jp/how-it-works" TargetMode="External" Id="rId495"/><Relationship Type="http://schemas.openxmlformats.org/officeDocument/2006/relationships/hyperlink" Target="https://www.doorkeeper.jp/developer/api" TargetMode="External" Id="rId496"/><Relationship Type="http://schemas.openxmlformats.org/officeDocument/2006/relationships/hyperlink" Target="https://www.doorkeeper.jp/pricing" TargetMode="External" Id="rId497"/><Relationship Type="http://schemas.openxmlformats.org/officeDocument/2006/relationships/hyperlink" Target="https://www.doorkeeper.jp/features" TargetMode="External" Id="rId498"/><Relationship Type="http://schemas.openxmlformats.org/officeDocument/2006/relationships/hyperlink" Target="https://internet.watch.impress.co.jp/docs/yajiuma/1229961.html" TargetMode="External" Id="rId499"/><Relationship Type="http://schemas.openxmlformats.org/officeDocument/2006/relationships/hyperlink" Target="https://www.doorkeeper.jp/organizer-stories" TargetMode="External" Id="rId500"/><Relationship Type="http://schemas.openxmlformats.org/officeDocument/2006/relationships/hyperlink" Target="https://support.doorkeeper.jp/article/34-promotion" TargetMode="External" Id="rId501"/><Relationship Type="http://schemas.openxmlformats.org/officeDocument/2006/relationships/hyperlink" Target="https://support.doorkeeper.jp/article/34-promotion" TargetMode="External" Id="rId502"/><Relationship Type="http://schemas.openxmlformats.org/officeDocument/2006/relationships/hyperlink" Target="https://www.doorkeeper.jp/how-it-works" TargetMode="External" Id="rId503"/><Relationship Type="http://schemas.openxmlformats.org/officeDocument/2006/relationships/hyperlink" Target="https://support.doorkeeper.jp/article/31-messages" TargetMode="External" Id="rId504"/><Relationship Type="http://schemas.openxmlformats.org/officeDocument/2006/relationships/hyperlink" Target="https://www.doorkeeper.jp/features" TargetMode="External" Id="rId505"/><Relationship Type="http://schemas.openxmlformats.org/officeDocument/2006/relationships/hyperlink" Target="https://support.doorkeeper.jp/article/34-promotion" TargetMode="External" Id="rId506"/><Relationship Type="http://schemas.openxmlformats.org/officeDocument/2006/relationships/hyperlink" Target="https://www.doorkeeper.jp/report_copyright_infringment" TargetMode="External" Id="rId507"/><Relationship Type="http://schemas.openxmlformats.org/officeDocument/2006/relationships/hyperlink" Target="https://support.doorkeeper.jp/article/86-article" TargetMode="External" Id="rId508"/><Relationship Type="http://schemas.openxmlformats.org/officeDocument/2006/relationships/hyperlink" Target="https://support.doorkeeper.jp/article/67-hide-participation" TargetMode="External" Id="rId509"/><Relationship Type="http://schemas.openxmlformats.org/officeDocument/2006/relationships/hyperlink" Target="https://www.doorkeeper.jp/features" TargetMode="External" Id="rId510"/><Relationship Type="http://schemas.openxmlformats.org/officeDocument/2006/relationships/hyperlink" Target="https://www.doorkeeper.jp/how-it-works" TargetMode="External" Id="rId511"/><Relationship Type="http://schemas.openxmlformats.org/officeDocument/2006/relationships/hyperlink" Target="https://www.doorkeeper.jp/features" TargetMode="External" Id="rId512"/><Relationship Type="http://schemas.openxmlformats.org/officeDocument/2006/relationships/hyperlink" Target="https://www.doorkeeper.jp/%E4%BC%9A%E5%A0%B4" TargetMode="External" Id="rId513"/><Relationship Type="http://schemas.openxmlformats.org/officeDocument/2006/relationships/hyperlink" Target="https://support.doorkeeper.jp/article/29-event-flow" TargetMode="External" Id="rId514"/><Relationship Type="http://schemas.openxmlformats.org/officeDocument/2006/relationships/hyperlink" Target="https://www.doorkeeper.jp/pricing" TargetMode="External" Id="rId515"/><Relationship Type="http://schemas.openxmlformats.org/officeDocument/2006/relationships/hyperlink" Target="https://www.doorkeeper.jp/pricing" TargetMode="External" Id="rId516"/><Relationship Type="http://schemas.openxmlformats.org/officeDocument/2006/relationships/hyperlink" Target="https://www.doorkeeper.jp/news/2023/1/18/patron-feature" TargetMode="External" Id="rId517"/><Relationship Type="http://schemas.openxmlformats.org/officeDocument/2006/relationships/hyperlink" Target="https://www.doorkeeper.jp/features" TargetMode="External" Id="rId518"/><Relationship Type="http://schemas.openxmlformats.org/officeDocument/2006/relationships/hyperlink" Target="https://www.doorkeeper.jp/news/2023/1/18/patron-feature" TargetMode="External" Id="rId519"/><Relationship Type="http://schemas.openxmlformats.org/officeDocument/2006/relationships/hyperlink" Target="https://connpass.com/search/" TargetMode="External" Id="rId520"/><Relationship Type="http://schemas.openxmlformats.org/officeDocument/2006/relationships/hyperlink" Target="https://connpass.com/search/" TargetMode="External" Id="rId521"/><Relationship Type="http://schemas.openxmlformats.org/officeDocument/2006/relationships/hyperlink" Target="https://connpass.com/search/" TargetMode="External" Id="rId522"/><Relationship Type="http://schemas.openxmlformats.org/officeDocument/2006/relationships/hyperlink" Target="https://help.connpass.com/participants/search-for-events" TargetMode="External" Id="rId523"/><Relationship Type="http://schemas.openxmlformats.org/officeDocument/2006/relationships/hyperlink" Target="https://help.connpass.com/participants/group" TargetMode="External" Id="rId524"/><Relationship Type="http://schemas.openxmlformats.org/officeDocument/2006/relationships/hyperlink" Target="https://help.connpass.com/participants/bookmark" TargetMode="External" Id="rId525"/><Relationship Type="http://schemas.openxmlformats.org/officeDocument/2006/relationships/hyperlink" Target="https://connpass.com/" TargetMode="External" Id="rId526"/><Relationship Type="http://schemas.openxmlformats.org/officeDocument/2006/relationships/hyperlink" Target="https://help.connpass.com/topics/event-conference-topic" TargetMode="External" Id="rId527"/><Relationship Type="http://schemas.openxmlformats.org/officeDocument/2006/relationships/hyperlink" Target="https://help.connpass.com/participants/event-join" TargetMode="External" Id="rId528"/><Relationship Type="http://schemas.openxmlformats.org/officeDocument/2006/relationships/hyperlink" Target="https://help.connpass.com/basic/setting_sns" TargetMode="External" Id="rId529"/><Relationship Type="http://schemas.openxmlformats.org/officeDocument/2006/relationships/hyperlink" Target="https://help.connpass.com/organizers/event-lottery" TargetMode="External" Id="rId530"/><Relationship Type="http://schemas.openxmlformats.org/officeDocument/2006/relationships/hyperlink" Target="https://help.connpass.com/organizers/event-admin" TargetMode="External" Id="rId531"/><Relationship Type="http://schemas.openxmlformats.org/officeDocument/2006/relationships/hyperlink" Target="https://help.connpass.com/organizers/event-detail" TargetMode="External" Id="rId532"/><Relationship Type="http://schemas.openxmlformats.org/officeDocument/2006/relationships/hyperlink" Target="https://help.connpass.com/organizers/event-form" TargetMode="External" Id="rId533"/><Relationship Type="http://schemas.openxmlformats.org/officeDocument/2006/relationships/hyperlink" Target="https://help.connpass.com/participants/event-join" TargetMode="External" Id="rId534"/><Relationship Type="http://schemas.openxmlformats.org/officeDocument/2006/relationships/hyperlink" Target="https://help.connpass.com/participants/calendar" TargetMode="External" Id="rId535"/><Relationship Type="http://schemas.openxmlformats.org/officeDocument/2006/relationships/hyperlink" Target="https://connpass.com/about/" TargetMode="External" Id="rId536"/><Relationship Type="http://schemas.openxmlformats.org/officeDocument/2006/relationships/hyperlink" Target="https://help.connpass.com/topics/event-attendee-qr-checkin" TargetMode="External" Id="rId537"/><Relationship Type="http://schemas.openxmlformats.org/officeDocument/2006/relationships/hyperlink" Target="https://help.connpass.com/faq/event_organize" TargetMode="External" Id="rId538"/><Relationship Type="http://schemas.openxmlformats.org/officeDocument/2006/relationships/hyperlink" Target="https://connpass.com/about/" TargetMode="External" Id="rId539"/><Relationship Type="http://schemas.openxmlformats.org/officeDocument/2006/relationships/hyperlink" Target="https://help.connpass.com/organizers/event-detail" TargetMode="External" Id="rId540"/><Relationship Type="http://schemas.openxmlformats.org/officeDocument/2006/relationships/hyperlink" Target="https://help.connpass.com/announcements/update/20260624" TargetMode="External" Id="rId541"/><Relationship Type="http://schemas.openxmlformats.org/officeDocument/2006/relationships/hyperlink" Target="https://connpass.com/about/" TargetMode="External" Id="rId542"/><Relationship Type="http://schemas.openxmlformats.org/officeDocument/2006/relationships/hyperlink" Target="https://help.connpass.com/basic/invite-followers" TargetMode="External" Id="rId543"/><Relationship Type="http://schemas.openxmlformats.org/officeDocument/2006/relationships/hyperlink" Target="https://help.connpass.com/participants/bookmark" TargetMode="External" Id="rId544"/><Relationship Type="http://schemas.openxmlformats.org/officeDocument/2006/relationships/hyperlink" Target="https://help.connpass.com/organizers/event-detail" TargetMode="External" Id="rId545"/><Relationship Type="http://schemas.openxmlformats.org/officeDocument/2006/relationships/hyperlink" Target="https://help.connpass.com/organizers/event-detail" TargetMode="External" Id="rId546"/><Relationship Type="http://schemas.openxmlformats.org/officeDocument/2006/relationships/hyperlink" Target="https://help.connpass.com/faq/event_organize" TargetMode="External" Id="rId547"/><Relationship Type="http://schemas.openxmlformats.org/officeDocument/2006/relationships/hyperlink" Target="https://help.connpass.com/organizers/multiple-admins" TargetMode="External" Id="rId548"/><Relationship Type="http://schemas.openxmlformats.org/officeDocument/2006/relationships/hyperlink" Target="https://help.connpass.com/organizers/event-admin" TargetMode="External" Id="rId549"/><Relationship Type="http://schemas.openxmlformats.org/officeDocument/2006/relationships/hyperlink" Target="https://help.connpass.com/announcements/info/20260805" TargetMode="External" Id="rId550"/><Relationship Type="http://schemas.openxmlformats.org/officeDocument/2006/relationships/hyperlink" Target="https://help.connpass.com/organizers/event-admin" TargetMode="External" Id="rId551"/><Relationship Type="http://schemas.openxmlformats.org/officeDocument/2006/relationships/hyperlink" Target="https://help.connpass.com/organizers/paid-event-edit" TargetMode="External" Id="rId552"/><Relationship Type="http://schemas.openxmlformats.org/officeDocument/2006/relationships/hyperlink" Target="https://help.connpass.com/organizers/stats" TargetMode="External" Id="rId553"/><Relationship Type="http://schemas.openxmlformats.org/officeDocument/2006/relationships/hyperlink" Target="https://help.connpass.com/organizers/group" TargetMode="External" Id="rId554"/><Relationship Type="http://schemas.openxmlformats.org/officeDocument/2006/relationships/hyperlink" Target="https://help.connpass.com/api/" TargetMode="External" Id="rId555"/><Relationship Type="http://schemas.openxmlformats.org/officeDocument/2006/relationships/hyperlink" Target="https://help.connpass.com/faq/event_organize" TargetMode="External" Id="rId556"/><Relationship Type="http://schemas.openxmlformats.org/officeDocument/2006/relationships/hyperlink" Target="https://help.connpass.com/organizers/event-admin" TargetMode="External" Id="rId557"/><Relationship Type="http://schemas.openxmlformats.org/officeDocument/2006/relationships/hyperlink" Target="https://help.connpass.com/" TargetMode="External" Id="rId558"/><Relationship Type="http://schemas.openxmlformats.org/officeDocument/2006/relationships/hyperlink" Target="https://help.connpass.com/faq/advertisement" TargetMode="External" Id="rId559"/><Relationship Type="http://schemas.openxmlformats.org/officeDocument/2006/relationships/hyperlink" Target="https://www.beproud.jp/company/company_history/" TargetMode="External" Id="rId560"/><Relationship Type="http://schemas.openxmlformats.org/officeDocument/2006/relationships/hyperlink" Target="https://help.connpass.com/basic/setting_mail" TargetMode="External" Id="rId561"/><Relationship Type="http://schemas.openxmlformats.org/officeDocument/2006/relationships/hyperlink" Target="https://help.connpass.com/participants/group" TargetMode="External" Id="rId562"/><Relationship Type="http://schemas.openxmlformats.org/officeDocument/2006/relationships/hyperlink" Target="https://help.connpass.com/organizers/bulk-message" TargetMode="External" Id="rId563"/><Relationship Type="http://schemas.openxmlformats.org/officeDocument/2006/relationships/hyperlink" Target="https://help.connpass.com/announcements/info/20260805" TargetMode="External" Id="rId564"/><Relationship Type="http://schemas.openxmlformats.org/officeDocument/2006/relationships/hyperlink" Target="https://help.connpass.com/basic/user-profile" TargetMode="External" Id="rId565"/><Relationship Type="http://schemas.openxmlformats.org/officeDocument/2006/relationships/hyperlink" Target="https://help.connpass.com/organizers/communication" TargetMode="External" Id="rId566"/><Relationship Type="http://schemas.openxmlformats.org/officeDocument/2006/relationships/hyperlink" Target="https://help.connpass.com/organizers/paid-event-edit" TargetMode="External" Id="rId567"/><Relationship Type="http://schemas.openxmlformats.org/officeDocument/2006/relationships/hyperlink" Target="https://help.connpass.com/topics/event-conference-topic" TargetMode="External" Id="rId568"/><Relationship Type="http://schemas.openxmlformats.org/officeDocument/2006/relationships/hyperlink" Target="https://help.connpass.com/term/guideline" TargetMode="External" Id="rId569"/><Relationship Type="http://schemas.openxmlformats.org/officeDocument/2006/relationships/hyperlink" Target="https://help.connpass.com/organizers/paid-event-edit" TargetMode="External" Id="rId570"/><Relationship Type="http://schemas.openxmlformats.org/officeDocument/2006/relationships/hyperlink" Target="https://help.connpass.com/faq/event_organize" TargetMode="External" Id="rId571"/><Relationship Type="http://schemas.openxmlformats.org/officeDocument/2006/relationships/hyperlink" Target="https://help.connpass.com/organizers/event-detail" TargetMode="External" Id="rId572"/><Relationship Type="http://schemas.openxmlformats.org/officeDocument/2006/relationships/hyperlink" Target="https://help.connpass.com/organizers/event-form" TargetMode="External" Id="rId573"/><Relationship Type="http://schemas.openxmlformats.org/officeDocument/2006/relationships/hyperlink" Target="https://help.connpass.com/organizers/paid-event-edit" TargetMode="External" Id="rId574"/><Relationship Type="http://schemas.openxmlformats.org/officeDocument/2006/relationships/hyperlink" Target="https://help.connpass.com/announcements/info/20260805" TargetMode="External" Id="rId575"/><Relationship Type="http://schemas.openxmlformats.org/officeDocument/2006/relationships/hyperlink" Target="https://help.connpass.com/organizers/voucher" TargetMode="External" Id="rId576"/><Relationship Type="http://schemas.openxmlformats.org/officeDocument/2006/relationships/hyperlink" Target="https://www.kokuchpro.com/s/?q=%E9%A3%9F%E4%BA%8B%E4%BC%9A" TargetMode="External" Id="rId577"/><Relationship Type="http://schemas.openxmlformats.org/officeDocument/2006/relationships/hyperlink" Target="https://www.kokuchpro.com/s/?q=%E9%A3%9F%E4%BA%8B%E4%BC%9A" TargetMode="External" Id="rId578"/><Relationship Type="http://schemas.openxmlformats.org/officeDocument/2006/relationships/hyperlink" Target="https://www.kokuchpro.com/s/?q=%E9%A3%9F%E4%BA%8B%E4%BC%9A" TargetMode="External" Id="rId579"/><Relationship Type="http://schemas.openxmlformats.org/officeDocument/2006/relationships/hyperlink" Target="https://www.kokuchpro.com/pages/functions/" TargetMode="External" Id="rId580"/><Relationship Type="http://schemas.openxmlformats.org/officeDocument/2006/relationships/hyperlink" Target="https://www.kokuchpro.com/pages/about/" TargetMode="External" Id="rId581"/><Relationship Type="http://schemas.openxmlformats.org/officeDocument/2006/relationships/hyperlink" Target="https://www.kokuchpro.com/pages/functions/" TargetMode="External" Id="rId582"/><Relationship Type="http://schemas.openxmlformats.org/officeDocument/2006/relationships/hyperlink" Target="https://www.kokuchpro.com/" TargetMode="External" Id="rId583"/><Relationship Type="http://schemas.openxmlformats.org/officeDocument/2006/relationships/hyperlink" Target="https://www.kokuchpro.com/" TargetMode="External" Id="rId584"/><Relationship Type="http://schemas.openxmlformats.org/officeDocument/2006/relationships/hyperlink" Target="https://www.kokuchpro.com/group/organizers/news/" TargetMode="External" Id="rId585"/><Relationship Type="http://schemas.openxmlformats.org/officeDocument/2006/relationships/hyperlink" Target="https://www.kokuchpro.com/event/20261102/" TargetMode="External" Id="rId586"/><Relationship Type="http://schemas.openxmlformats.org/officeDocument/2006/relationships/hyperlink" Target="https://blog.kokuchpro.com/post/667607979241111552/2022%E5%B9%B4%E7%89%88%E3%82%AA%E3%83%AA%E3%82%B8%E3%83%8A%E3%83%AB%E5%8D%93%E4%B8%8A%E3%82%AB%E3%83%AC%E3%83%B3%E3%83%80%E3%83%BC%E3%83%97%E3%83%AC%E3%82%BC%E3%83%B3%E3%83%88%E3%82%AD%E3%83%A3%E3%83%B3%E3%83%9A%E3%83%BC%E3%83%B3" TargetMode="External" Id="rId587"/><Relationship Type="http://schemas.openxmlformats.org/officeDocument/2006/relationships/hyperlink" Target="https://www.kokuchpro.com/pages/guide_participant/" TargetMode="External" Id="rId588"/><Relationship Type="http://schemas.openxmlformats.org/officeDocument/2006/relationships/hyperlink" Target="https://www.kokuchpro.com/event/20261102/" TargetMode="External" Id="rId589"/><Relationship Type="http://schemas.openxmlformats.org/officeDocument/2006/relationships/hyperlink" Target="https://www.kokuchpro.com/pages/functions/" TargetMode="External" Id="rId590"/><Relationship Type="http://schemas.openxmlformats.org/officeDocument/2006/relationships/hyperlink" Target="https://www.kokuchpro.com/pages/functions/" TargetMode="External" Id="rId591"/><Relationship Type="http://schemas.openxmlformats.org/officeDocument/2006/relationships/hyperlink" Target="https://www.kokuchpro.com/event/20261102/" TargetMode="External" Id="rId592"/><Relationship Type="http://schemas.openxmlformats.org/officeDocument/2006/relationships/hyperlink" Target="https://www.kokuchpro.com/pages/guide/" TargetMode="External" Id="rId593"/><Relationship Type="http://schemas.openxmlformats.org/officeDocument/2006/relationships/hyperlink" Target="https://www.kokuchpro.com/pages/premium/" TargetMode="External" Id="rId594"/><Relationship Type="http://schemas.openxmlformats.org/officeDocument/2006/relationships/hyperlink" Target="https://www.kokuchpro.com/pages/functions/" TargetMode="External" Id="rId595"/><Relationship Type="http://schemas.openxmlformats.org/officeDocument/2006/relationships/hyperlink" Target="https://www.kokuchpro.com/event/20261102/" TargetMode="External" Id="rId596"/><Relationship Type="http://schemas.openxmlformats.org/officeDocument/2006/relationships/hyperlink" Target="https://www.kokuchpro.com/group/kohaken/" TargetMode="External" Id="rId597"/><Relationship Type="http://schemas.openxmlformats.org/officeDocument/2006/relationships/hyperlink" Target="https://www.kokuchpro.com/pages/about/" TargetMode="External" Id="rId598"/><Relationship Type="http://schemas.openxmlformats.org/officeDocument/2006/relationships/hyperlink" Target="https://www.kokuchpro.com/pages/functions/" TargetMode="External" Id="rId599"/><Relationship Type="http://schemas.openxmlformats.org/officeDocument/2006/relationships/hyperlink" Target="https://www.kokuchpro.com/pages/functions/" TargetMode="External" Id="rId600"/><Relationship Type="http://schemas.openxmlformats.org/officeDocument/2006/relationships/hyperlink" Target="https://www.kokuchpro.com/pages/functions/" TargetMode="External" Id="rId601"/><Relationship Type="http://schemas.openxmlformats.org/officeDocument/2006/relationships/hyperlink" Target="https://www.kokuchpro.com/pages/functions/" TargetMode="External" Id="rId602"/><Relationship Type="http://schemas.openxmlformats.org/officeDocument/2006/relationships/hyperlink" Target="https://www.kokuchpro.com/pages/premium/" TargetMode="External" Id="rId603"/><Relationship Type="http://schemas.openxmlformats.org/officeDocument/2006/relationships/hyperlink" Target="https://www.kokuchpro.com/pages/functions/" TargetMode="External" Id="rId604"/><Relationship Type="http://schemas.openxmlformats.org/officeDocument/2006/relationships/hyperlink" Target="https://www.kokuchpro.com/pages/prices/" TargetMode="External" Id="rId605"/><Relationship Type="http://schemas.openxmlformats.org/officeDocument/2006/relationships/hyperlink" Target="https://www.kokuchpro.com/pages/gradeup/" TargetMode="External" Id="rId606"/><Relationship Type="http://schemas.openxmlformats.org/officeDocument/2006/relationships/hyperlink" Target="https://www.kokuchpro.com/group/kohaken/" TargetMode="External" Id="rId607"/><Relationship Type="http://schemas.openxmlformats.org/officeDocument/2006/relationships/hyperlink" Target="https://www.kokuchpro.com/pages/online/" TargetMode="External" Id="rId608"/><Relationship Type="http://schemas.openxmlformats.org/officeDocument/2006/relationships/hyperlink" Target="https://www.kokuchpro.com/pages/prices/" TargetMode="External" Id="rId609"/><Relationship Type="http://schemas.openxmlformats.org/officeDocument/2006/relationships/hyperlink" Target="https://www.kokuchpro.com/pages/functions/" TargetMode="External" Id="rId610"/><Relationship Type="http://schemas.openxmlformats.org/officeDocument/2006/relationships/hyperlink" Target="https://www.kokuchpro.com/pages/guide/" TargetMode="External" Id="rId611"/><Relationship Type="http://schemas.openxmlformats.org/officeDocument/2006/relationships/hyperlink" Target="https://www.kokuchpro.com/pages/promotion/" TargetMode="External" Id="rId612"/><Relationship Type="http://schemas.openxmlformats.org/officeDocument/2006/relationships/hyperlink" Target="https://www.kokuchpro.com/group/members/" TargetMode="External" Id="rId613"/><Relationship Type="http://schemas.openxmlformats.org/officeDocument/2006/relationships/hyperlink" Target="https://www.kokuchpro.com/pages/functions/" TargetMode="External" Id="rId614"/><Relationship Type="http://schemas.openxmlformats.org/officeDocument/2006/relationships/hyperlink" Target="https://www.kokuchpro.com/pages/premium/" TargetMode="External" Id="rId615"/><Relationship Type="http://schemas.openxmlformats.org/officeDocument/2006/relationships/hyperlink" Target="https://www.kokuchpro.com/pages/premium/" TargetMode="External" Id="rId616"/><Relationship Type="http://schemas.openxmlformats.org/officeDocument/2006/relationships/hyperlink" Target="https://www.kokuchpro.com/pages/premium/" TargetMode="External" Id="rId617"/><Relationship Type="http://schemas.openxmlformats.org/officeDocument/2006/relationships/hyperlink" Target="https://www.kokuchpro.com/pages/review_guideline/" TargetMode="External" Id="rId618"/><Relationship Type="http://schemas.openxmlformats.org/officeDocument/2006/relationships/hyperlink" Target="https://blog.kokuchpro.com/post/667607979241111552/2022%E5%B9%B4%E7%89%88%E3%82%AA%E3%83%AA%E3%82%B8%E3%83%8A%E3%83%AB%E5%8D%93%E4%B8%8A%E3%82%AB%E3%83%AC%E3%83%B3%E3%83%80%E3%83%BC%E3%83%97%E3%83%AC%E3%82%BC%E3%83%B3%E3%83%88%E3%82%AD%E3%83%A3%E3%83%B3%E3%83%9A%E3%83%BC%E3%83%B3" TargetMode="External" Id="rId619"/><Relationship Type="http://schemas.openxmlformats.org/officeDocument/2006/relationships/hyperlink" Target="https://www.kokuchpro.com/pages/guide/" TargetMode="External" Id="rId620"/><Relationship Type="http://schemas.openxmlformats.org/officeDocument/2006/relationships/hyperlink" Target="https://www.kokuchpro.com/pages/abuse_report/" TargetMode="External" Id="rId621"/><Relationship Type="http://schemas.openxmlformats.org/officeDocument/2006/relationships/hyperlink" Target="https://www.kokuchpro.com/pages/guide/" TargetMode="External" Id="rId622"/><Relationship Type="http://schemas.openxmlformats.org/officeDocument/2006/relationships/hyperlink" Target="https://www.kokuchpro.com/pages/functions/" TargetMode="External" Id="rId623"/><Relationship Type="http://schemas.openxmlformats.org/officeDocument/2006/relationships/hyperlink" Target="https://www.kokuchpro.com/pages/functions/" TargetMode="External" Id="rId624"/><Relationship Type="http://schemas.openxmlformats.org/officeDocument/2006/relationships/hyperlink" Target="https://www.kokuchpro.com/pages/functions/" TargetMode="External" Id="rId625"/><Relationship Type="http://schemas.openxmlformats.org/officeDocument/2006/relationships/hyperlink" Target="https://www.kokuchspace.com" TargetMode="External" Id="rId626"/><Relationship Type="http://schemas.openxmlformats.org/officeDocument/2006/relationships/hyperlink" Target="https://www.kokuchpro.com/pages/prices/" TargetMode="External" Id="rId627"/><Relationship Type="http://schemas.openxmlformats.org/officeDocument/2006/relationships/hyperlink" Target="https://www.kokuchpro.com/pages/premium/" TargetMode="External" Id="rId628"/><Relationship Type="http://schemas.openxmlformats.org/officeDocument/2006/relationships/hyperlink" Target="https://www.kokuchpro.com/pages/premium/" TargetMode="External" Id="rId629"/><Relationship Type="http://schemas.openxmlformats.org/officeDocument/2006/relationships/hyperlink" Target="https://www.street-academy.com/" TargetMode="External" Id="rId630"/><Relationship Type="http://schemas.openxmlformats.org/officeDocument/2006/relationships/hyperlink" Target="https://www.street-academy.com/zenkoku/all" TargetMode="External" Id="rId631"/><Relationship Type="http://schemas.openxmlformats.org/officeDocument/2006/relationships/hyperlink" Target="https://www.street-academy.com/zenkoku/all" TargetMode="External" Id="rId632"/><Relationship Type="http://schemas.openxmlformats.org/officeDocument/2006/relationships/hyperlink" Target="https://www.street-academy.com/myclass/206811" TargetMode="External" Id="rId633"/><Relationship Type="http://schemas.openxmlformats.org/officeDocument/2006/relationships/hyperlink" Target="https://support.street-academy.com/hc/ja/articles/360010790440-%E5%8F%97%E3%81%91%E3%81%9F%E3%81%84%E7%99%BB%E9%8C%B2%E3%82%92%E3%81%99%E3%82%8B" TargetMode="External" Id="rId634"/><Relationship Type="http://schemas.openxmlformats.org/officeDocument/2006/relationships/hyperlink" Target="https://support.street-academy.com/hc/ja/articles/360010790440-%E5%8F%97%E3%81%91%E3%81%9F%E3%81%84%E7%99%BB%E9%8C%B2%E3%82%92%E3%81%99%E3%82%8B" TargetMode="External" Id="rId635"/><Relationship Type="http://schemas.openxmlformats.org/officeDocument/2006/relationships/hyperlink" Target="https://www.street-academy.com/zenkoku/all" TargetMode="External" Id="rId636"/><Relationship Type="http://schemas.openxmlformats.org/officeDocument/2006/relationships/hyperlink" Target="https://www.street-academy.com/" TargetMode="External" Id="rId637"/><Relationship Type="http://schemas.openxmlformats.org/officeDocument/2006/relationships/hyperlink" Target="https://www.street-academy.com/" TargetMode="External" Id="rId638"/><Relationship Type="http://schemas.openxmlformats.org/officeDocument/2006/relationships/hyperlink" Target="https://www.street-academy.com/myclass/206811" TargetMode="External" Id="rId639"/><Relationship Type="http://schemas.openxmlformats.org/officeDocument/2006/relationships/hyperlink" Target="https://www.street-academy.com/myclass/206811" TargetMode="External" Id="rId640"/><Relationship Type="http://schemas.openxmlformats.org/officeDocument/2006/relationships/hyperlink" Target="https://support.street-academy.com/hc/ja/articles/202632125-%E5%AE%B6%E6%97%8F%E3%82%84%E5%8F%8B%E4%BA%BA%E3%81%AA%E3%81%A9%E3%82%B0%E3%83%AB%E3%83%BC%E3%83%97%E3%81%A7%E8%AC%9B%E5%BA%A7%E3%81%AB%E7%94%B3%E3%81%97%E8%BE%BC%E3%82%80" TargetMode="External" Id="rId641"/><Relationship Type="http://schemas.openxmlformats.org/officeDocument/2006/relationships/hyperlink" Target="https://www.street-academy.com/guideline" TargetMode="External" Id="rId642"/><Relationship Type="http://schemas.openxmlformats.org/officeDocument/2006/relationships/hyperlink" Target="https://support.street-academy.com/hc/ja/articles/115000097664-%E3%83%A1%E3%83%BC%E3%83%AB%E3%82%84%E3%82%A2%E3%83%97%E3%83%AA%E3%81%AE%E9%80%9A%E7%9F%A5%E8%A8%AD%E5%AE%9A%E3%82%92%E5%A4%89%E6%9B%B4%E3%81%97%E3%81%9F%E3%81%84" TargetMode="External" Id="rId643"/><Relationship Type="http://schemas.openxmlformats.org/officeDocument/2006/relationships/hyperlink" Target="https://www.street-academy.com/guideline" TargetMode="External" Id="rId644"/><Relationship Type="http://schemas.openxmlformats.org/officeDocument/2006/relationships/hyperlink" Target="https://www.street-academy.com/myclass/206811" TargetMode="External" Id="rId645"/><Relationship Type="http://schemas.openxmlformats.org/officeDocument/2006/relationships/hyperlink" Target="https://www.street-academy.com/friend_invites/about" TargetMode="External" Id="rId646"/><Relationship Type="http://schemas.openxmlformats.org/officeDocument/2006/relationships/hyperlink" Target="https://www.street-academy.com/friend_invites/about" TargetMode="External" Id="rId647"/><Relationship Type="http://schemas.openxmlformats.org/officeDocument/2006/relationships/hyperlink" Target="https://www.street-academy.com/myclass/206811" TargetMode="External" Id="rId648"/><Relationship Type="http://schemas.openxmlformats.org/officeDocument/2006/relationships/hyperlink" Target="https://support.street-academy.com/hc/ja/articles/115001376604-QR%E3%82%B3%E3%83%BC%E3%83%89-%E3%83%81%E3%83%A9%E3%82%B7%E4%BD%9C%E6%88%90%E6%A9%9F%E8%83%BD%E3%81%A8%E3%81%AF%E3%81%AA%E3%82%93%E3%81%A7%E3%81%99%E3%81%8B-" TargetMode="External" Id="rId649"/><Relationship Type="http://schemas.openxmlformats.org/officeDocument/2006/relationships/hyperlink" Target="https://www.street-academy.com/guideline" TargetMode="External" Id="rId650"/><Relationship Type="http://schemas.openxmlformats.org/officeDocument/2006/relationships/hyperlink" Target="https://support.street-academy.com/hc/ja/articles/360011879339-%E6%97%A5%E7%A8%8B%E3%82%92%E8%BF%BD%E5%8A%A0%E3%81%99%E3%82%8B-%E5%8D%98%E7%99%BA" TargetMode="External" Id="rId651"/><Relationship Type="http://schemas.openxmlformats.org/officeDocument/2006/relationships/hyperlink" Target="https://support.street-academy.com/hc/ja/articles/360013054440-%E7%89%B9%E5%AE%9A%E3%81%AE%E4%BA%BA%E3%81%A0%E3%81%91%E3%81%8C%E4%BA%88%E7%B4%84%E3%81%8C%E3%81%A7%E3%81%8D%E3%82%8B%E6%97%A5%E7%A8%8B%E3%82%92%E5%85%AC%E9%96%8B%E3%81%99%E3%82%8B-%E9%99%90%E5%AE%9A%E5%85%AC%E9%96%8B%E6%97%A5%E7%A8%8B" TargetMode="External" Id="rId652"/><Relationship Type="http://schemas.openxmlformats.org/officeDocument/2006/relationships/hyperlink" Target="https://support.street-academy.com/hc/ja/articles/360000922190-%E4%B8%BB%E5%82%AC%E5%9B%A3%E4%BD%93%E3%81%AE%E7%AE%A1%E7%90%86%E3%83%A1%E3%83%B3%E3%83%90%E3%83%BC%E3%81%AE%E8%BF%BD%E5%8A%A0%E6%96%B9%E6%B3%95%E3%82%92%E6%95%99%E3%81%88%E3%81%A6%E3%81%8F%E3%81%A0%E3%81%95%E3%81%84" TargetMode="External" Id="rId653"/><Relationship Type="http://schemas.openxmlformats.org/officeDocument/2006/relationships/hyperlink" Target="https://support.street-academy.com/hc/ja/articles/201104345-%E4%BA%88%E7%B4%84%E3%81%97%E3%81%9F%E7%94%9F%E5%BE%92%E3%81%AB%E3%83%A1%E3%83%83%E3%82%BB%E3%83%BC%E3%82%B8%E3%82%92%E9%80%81%E3%82%8B" TargetMode="External" Id="rId654"/><Relationship Type="http://schemas.openxmlformats.org/officeDocument/2006/relationships/hyperlink" Target="https://www.street-academy.com/fee" TargetMode="External" Id="rId655"/><Relationship Type="http://schemas.openxmlformats.org/officeDocument/2006/relationships/hyperlink" Target="https://www.street-academy.com/teach" TargetMode="External" Id="rId656"/><Relationship Type="http://schemas.openxmlformats.org/officeDocument/2006/relationships/hyperlink" Target="https://teach.street-academy.com/blog/three-key-points-in-web-analytics" TargetMode="External" Id="rId657"/><Relationship Type="http://schemas.openxmlformats.org/officeDocument/2006/relationships/hyperlink" Target="https://www.street-academy.com/teach" TargetMode="External" Id="rId658"/><Relationship Type="http://schemas.openxmlformats.org/officeDocument/2006/relationships/hyperlink" Target="https://www.street-academy.com/guideline" TargetMode="External" Id="rId659"/><Relationship Type="http://schemas.openxmlformats.org/officeDocument/2006/relationships/hyperlink" Target="https://www.street-academy.com/guideline" TargetMode="External" Id="rId660"/><Relationship Type="http://schemas.openxmlformats.org/officeDocument/2006/relationships/hyperlink" Target="https://www.street-academy.com/friend_invites/about" TargetMode="External" Id="rId661"/><Relationship Type="http://schemas.openxmlformats.org/officeDocument/2006/relationships/hyperlink" Target="https://teach.street-academy.com/" TargetMode="External" Id="rId662"/><Relationship Type="http://schemas.openxmlformats.org/officeDocument/2006/relationships/hyperlink" Target="https://corp.street-academy.com/news/" TargetMode="External" Id="rId663"/><Relationship Type="http://schemas.openxmlformats.org/officeDocument/2006/relationships/hyperlink" Target="https://support.street-academy.com/hc/ja/articles/115000097664-%E3%83%A1%E3%83%BC%E3%83%AB%E3%82%84%E3%82%A2%E3%83%97%E3%83%AA%E3%81%AE%E9%80%9A%E7%9F%A5%E8%A8%AD%E5%AE%9A%E3%82%92%E5%A4%89%E6%9B%B4%E3%81%97%E3%81%9F%E3%81%84" TargetMode="External" Id="rId664"/><Relationship Type="http://schemas.openxmlformats.org/officeDocument/2006/relationships/hyperlink" Target="https://support.street-academy.com/hc/ja/articles/200714999--%E5%8F%97%E3%81%91%E3%81%9F%E3%81%84%E7%99%BB%E9%8C%B2-%E3%82%92%E3%81%97%E3%81%A6%E3%81%84%E3%82%8B%E4%BA%BA%E3%81%AB%E9%96%8B%E5%82%AC%E3%81%AE%E5%91%8A%E7%9F%A5%E3%82%92%E3%81%99%E3%82%8B" TargetMode="External" Id="rId665"/><Relationship Type="http://schemas.openxmlformats.org/officeDocument/2006/relationships/hyperlink" Target="https://support.street-academy.com/hc/ja/articles/360013054440-%E7%89%B9%E5%AE%9A%E3%81%AE%E4%BA%BA%E3%81%A0%E3%81%91%E3%81%8C%E4%BA%88%E7%B4%84%E3%81%8C%E3%81%A7%E3%81%8D%E3%82%8B%E6%97%A5%E7%A8%8B%E3%82%92%E5%85%AC%E9%96%8B%E3%81%99%E3%82%8B-%E9%99%90%E5%AE%9A%E5%85%AC%E9%96%8B%E6%97%A5%E7%A8%8B" TargetMode="External" Id="rId666"/><Relationship Type="http://schemas.openxmlformats.org/officeDocument/2006/relationships/hyperlink" Target="https://support.street-academy.com/hc/ja/articles/201104345-%E4%BA%88%E7%B4%84%E3%81%97%E3%81%9F%E7%94%9F%E5%BE%92%E3%81%AB%E3%83%A1%E3%83%83%E3%82%BB%E3%83%BC%E3%82%B8%E3%82%92%E9%80%81%E3%82%8B" TargetMode="External" Id="rId667"/><Relationship Type="http://schemas.openxmlformats.org/officeDocument/2006/relationships/hyperlink" Target="https://www.street-academy.com/badge" TargetMode="External" Id="rId668"/><Relationship Type="http://schemas.openxmlformats.org/officeDocument/2006/relationships/hyperlink" Target="https://www.street-academy.com/about" TargetMode="External" Id="rId669"/><Relationship Type="http://schemas.openxmlformats.org/officeDocument/2006/relationships/hyperlink" Target="https://www.street-academy.com/subscription_service_guideline" TargetMode="External" Id="rId670"/><Relationship Type="http://schemas.openxmlformats.org/officeDocument/2006/relationships/hyperlink" Target="https://www.street-academy.com/guideline" TargetMode="External" Id="rId671"/><Relationship Type="http://schemas.openxmlformats.org/officeDocument/2006/relationships/hyperlink" Target="https://www.street-academy.com/about" TargetMode="External" Id="rId672"/><Relationship Type="http://schemas.openxmlformats.org/officeDocument/2006/relationships/hyperlink" Target="https://www.street-academy.com/guideline" TargetMode="External" Id="rId673"/><Relationship Type="http://schemas.openxmlformats.org/officeDocument/2006/relationships/hyperlink" Target="https://www.street-academy.com/guideline" TargetMode="External" Id="rId674"/><Relationship Type="http://schemas.openxmlformats.org/officeDocument/2006/relationships/hyperlink" Target="https://support.street-academy.com/hc/ja/articles/360010790440-%E5%8F%97%E3%81%91%E3%81%9F%E3%81%84%E7%99%BB%E9%8C%B2%E3%82%92%E3%81%99%E3%82%8B" TargetMode="External" Id="rId675"/><Relationship Type="http://schemas.openxmlformats.org/officeDocument/2006/relationships/hyperlink" Target="https://www.street-academy.com/guideline" TargetMode="External" Id="rId676"/><Relationship Type="http://schemas.openxmlformats.org/officeDocument/2006/relationships/hyperlink" Target="https://www.street-academy.com/spaces" TargetMode="External" Id="rId677"/><Relationship Type="http://schemas.openxmlformats.org/officeDocument/2006/relationships/hyperlink" Target="https://www.street-academy.com/fee" TargetMode="External" Id="rId678"/><Relationship Type="http://schemas.openxmlformats.org/officeDocument/2006/relationships/hyperlink" Target="https://www.street-academy.com/fee" TargetMode="External" Id="rId679"/><Relationship Type="http://schemas.openxmlformats.org/officeDocument/2006/relationships/hyperlink" Target="https://www.street-academy.com/fee" TargetMode="External" Id="rId680"/><Relationship Type="http://schemas.openxmlformats.org/officeDocument/2006/relationships/hyperlink" Target="https://www.street-academy.com/" TargetMode="External" Id="rId681"/><Relationship Type="http://schemas.openxmlformats.org/officeDocument/2006/relationships/hyperlink" Target="https://help.timeleft.com/hc/en-150/articles/28532932215964-How-Do-I-Book-an-Event" TargetMode="External" Id="rId682"/><Relationship Type="http://schemas.openxmlformats.org/officeDocument/2006/relationships/hyperlink" Target="https://timeleft.com/locations/" TargetMode="External" Id="rId683"/><Relationship Type="http://schemas.openxmlformats.org/officeDocument/2006/relationships/hyperlink" Target="https://help.timeleft.com/hc/en-150/articles/28532932215964-How-Do-I-Book-an-Event" TargetMode="External" Id="rId684"/><Relationship Type="http://schemas.openxmlformats.org/officeDocument/2006/relationships/hyperlink" Target="https://timeleft.com/locations/" TargetMode="External" Id="rId685"/><Relationship Type="http://schemas.openxmlformats.org/officeDocument/2006/relationships/hyperlink" Target="https://timeleft.com/tokyo/" TargetMode="External" Id="rId686"/><Relationship Type="http://schemas.openxmlformats.org/officeDocument/2006/relationships/hyperlink" Target="https://help.timeleft.com/hc/en-150/articles/28530549963804-How-Do-I-Sign-Up" TargetMode="External" Id="rId687"/><Relationship Type="http://schemas.openxmlformats.org/officeDocument/2006/relationships/hyperlink" Target="https://help.timeleft.com/hc/en-150/articles/28530549963804-How-Do-I-Sign-Up" TargetMode="External" Id="rId688"/><Relationship Type="http://schemas.openxmlformats.org/officeDocument/2006/relationships/hyperlink" Target="https://help.timeleft.com/hc/en-150/articles/28529250732444-What-is-Timeleft-and-How-Does-It-Work" TargetMode="External" Id="rId689"/><Relationship Type="http://schemas.openxmlformats.org/officeDocument/2006/relationships/hyperlink" Target="https://apps.apple.com/us/app/timeleft-make-new-friends-irl/id6466442949" TargetMode="External" Id="rId690"/><Relationship Type="http://schemas.openxmlformats.org/officeDocument/2006/relationships/hyperlink" Target="https://help.timeleft.com/hc/en-150/articles/27957183804828-How-Do-I-Invite-a-Guest" TargetMode="External" Id="rId691"/><Relationship Type="http://schemas.openxmlformats.org/officeDocument/2006/relationships/hyperlink" Target="https://help.timeleft.com/hc/en-150/articles/28536868572444-How-Do-I-Cancel-or-Modify-My-Reservation" TargetMode="External" Id="rId692"/><Relationship Type="http://schemas.openxmlformats.org/officeDocument/2006/relationships/hyperlink" Target="https://help.timeleft.com/hc/en-150/articles/28541783156380-How-Do-I-Manage-My-Notifications-and-Emails" TargetMode="External" Id="rId693"/><Relationship Type="http://schemas.openxmlformats.org/officeDocument/2006/relationships/hyperlink" Target="https://help.timeleft.com/hc/en-150/articles/28538239191068-I-Arrived-and-No-One-Showed-Up" TargetMode="External" Id="rId694"/><Relationship Type="http://schemas.openxmlformats.org/officeDocument/2006/relationships/hyperlink" Target="https://timeleft.com/safety-guidelines/" TargetMode="External" Id="rId695"/><Relationship Type="http://schemas.openxmlformats.org/officeDocument/2006/relationships/hyperlink" Target="https://help.timeleft.com/hc/en-150/articles/28540292815772-What-are-Post-Events-Connections-and-Impressions" TargetMode="External" Id="rId696"/><Relationship Type="http://schemas.openxmlformats.org/officeDocument/2006/relationships/hyperlink" Target="https://help.timeleft.com/hc/en-150/articles/27957183804828-How-Do-I-Invite-a-Guest" TargetMode="External" Id="rId697"/><Relationship Type="http://schemas.openxmlformats.org/officeDocument/2006/relationships/hyperlink" Target="https://help.timeleft.com/hc/en-150/articles/27957183804828-How-Do-I-Invite-a-Guest" TargetMode="External" Id="rId698"/><Relationship Type="http://schemas.openxmlformats.org/officeDocument/2006/relationships/hyperlink" Target="https://timeleft.com/affiliate/" TargetMode="External" Id="rId699"/><Relationship Type="http://schemas.openxmlformats.org/officeDocument/2006/relationships/hyperlink" Target="https://help.timeleft.com/hc/en-150/articles/28540389917852-How-do-I-add-or-remove-a-connection" TargetMode="External" Id="rId700"/><Relationship Type="http://schemas.openxmlformats.org/officeDocument/2006/relationships/hyperlink" Target="https://timeleft.com/tokyo/" TargetMode="External" Id="rId701"/><Relationship Type="http://schemas.openxmlformats.org/officeDocument/2006/relationships/hyperlink" Target="https://help.timeleft.com/hc/en-150/articles/28529250732444-What-is-Timeleft-and-How-Does-It-Work" TargetMode="External" Id="rId702"/><Relationship Type="http://schemas.openxmlformats.org/officeDocument/2006/relationships/hyperlink" Target="https://help.timeleft.com/hc/en-150/articles/28529250732444-What-is-Timeleft-and-How-Does-It-Work" TargetMode="External" Id="rId703"/><Relationship Type="http://schemas.openxmlformats.org/officeDocument/2006/relationships/hyperlink" Target="https://help.timeleft.com/hc/en-150/articles/28529250732444-What-is-Timeleft-and-How-Does-It-Work" TargetMode="External" Id="rId704"/><Relationship Type="http://schemas.openxmlformats.org/officeDocument/2006/relationships/hyperlink" Target="https://help.timeleft.com/hc/en-150/articles/28529250732444-What-is-Timeleft-and-How-Does-It-Work" TargetMode="External" Id="rId705"/><Relationship Type="http://schemas.openxmlformats.org/officeDocument/2006/relationships/hyperlink" Target="https://help.timeleft.com/hc/en-150/articles/28529250732444-What-is-Timeleft-and-How-Does-It-Work" TargetMode="External" Id="rId706"/><Relationship Type="http://schemas.openxmlformats.org/officeDocument/2006/relationships/hyperlink" Target="https://help.timeleft.com/hc/en-150/articles/28529250732444-What-is-Timeleft-and-How-Does-It-Work" TargetMode="External" Id="rId707"/><Relationship Type="http://schemas.openxmlformats.org/officeDocument/2006/relationships/hyperlink" Target="https://help.timeleft.com/hc/en-150/articles/28529250732444-What-is-Timeleft-and-How-Does-It-Work" TargetMode="External" Id="rId708"/><Relationship Type="http://schemas.openxmlformats.org/officeDocument/2006/relationships/hyperlink" Target="https://help.timeleft.com/hc/en-150/articles/28529250732444-What-is-Timeleft-and-How-Does-It-Work" TargetMode="External" Id="rId709"/><Relationship Type="http://schemas.openxmlformats.org/officeDocument/2006/relationships/hyperlink" Target="https://help.timeleft.com/hc/en-150/articles/28529250732444-What-is-Timeleft-and-How-Does-It-Work" TargetMode="External" Id="rId710"/><Relationship Type="http://schemas.openxmlformats.org/officeDocument/2006/relationships/hyperlink" Target="https://help.timeleft.com/hc/en-150/articles/28529250732444-What-is-Timeleft-and-How-Does-It-Work" TargetMode="External" Id="rId711"/><Relationship Type="http://schemas.openxmlformats.org/officeDocument/2006/relationships/hyperlink" Target="https://help.timeleft.com/hc/en-150/articles/28529250732444-What-is-Timeleft-and-How-Does-It-Work" TargetMode="External" Id="rId712"/><Relationship Type="http://schemas.openxmlformats.org/officeDocument/2006/relationships/hyperlink" Target="https://help.timeleft.com/hc/en-150/articles/28529250732444-What-is-Timeleft-and-How-Does-It-Work" TargetMode="External" Id="rId713"/><Relationship Type="http://schemas.openxmlformats.org/officeDocument/2006/relationships/hyperlink" Target="https://help.timeleft.com/hc/en-150/articles/28529250732444-What-is-Timeleft-and-How-Does-It-Work" TargetMode="External" Id="rId714"/><Relationship Type="http://schemas.openxmlformats.org/officeDocument/2006/relationships/hyperlink" Target="https://help.timeleft.com/hc/en-150/articles/28529250732444-What-is-Timeleft-and-How-Does-It-Work" TargetMode="External" Id="rId715"/><Relationship Type="http://schemas.openxmlformats.org/officeDocument/2006/relationships/hyperlink" Target="https://help.timeleft.com/hc/en-150/articles/28529250732444-What-is-Timeleft-and-How-Does-It-Work" TargetMode="External" Id="rId716"/><Relationship Type="http://schemas.openxmlformats.org/officeDocument/2006/relationships/hyperlink" Target="https://help.timeleft.com/hc/en-150/articles/28529250732444-What-is-Timeleft-and-How-Does-It-Work" TargetMode="External" Id="rId717"/><Relationship Type="http://schemas.openxmlformats.org/officeDocument/2006/relationships/hyperlink" Target="https://timeleft.com/affiliate/" TargetMode="External" Id="rId718"/><Relationship Type="http://schemas.openxmlformats.org/officeDocument/2006/relationships/hyperlink" Target="https://help.timeleft.com/hc/en-150/articles/28529250732444-What-is-Timeleft-and-How-Does-It-Work" TargetMode="External" Id="rId719"/><Relationship Type="http://schemas.openxmlformats.org/officeDocument/2006/relationships/hyperlink" Target="https://timeleft.com/brand-partnerships/" TargetMode="External" Id="rId720"/><Relationship Type="http://schemas.openxmlformats.org/officeDocument/2006/relationships/hyperlink" Target="https://help.timeleft.com/hc/en-150/articles/28529250732444-What-is-Timeleft-and-How-Does-It-Work" TargetMode="External" Id="rId721"/><Relationship Type="http://schemas.openxmlformats.org/officeDocument/2006/relationships/hyperlink" Target="https://help.timeleft.com/hc/en-150/articles/28541783156380-How-Do-I-Manage-My-Notifications-and-Emails" TargetMode="External" Id="rId722"/><Relationship Type="http://schemas.openxmlformats.org/officeDocument/2006/relationships/hyperlink" Target="https://help.timeleft.com/hc/en-150/articles/28540389917852-How-do-I-add-or-remove-a-connection" TargetMode="External" Id="rId723"/><Relationship Type="http://schemas.openxmlformats.org/officeDocument/2006/relationships/hyperlink" Target="https://help.timeleft.com/hc/en-150/articles/27957183804828-How-Do-I-Invite-a-Guest" TargetMode="External" Id="rId724"/><Relationship Type="http://schemas.openxmlformats.org/officeDocument/2006/relationships/hyperlink" Target="https://help.timeleft.com/hc/en-150/articles/28529250732444-What-is-Timeleft-and-How-Does-It-Work" TargetMode="External" Id="rId725"/><Relationship Type="http://schemas.openxmlformats.org/officeDocument/2006/relationships/hyperlink" Target="https://help.timeleft.com/hc/en-150/articles/28540292815772-What-are-Post-Events-Connections-and-Impressions" TargetMode="External" Id="rId726"/><Relationship Type="http://schemas.openxmlformats.org/officeDocument/2006/relationships/hyperlink" Target="https://timeleft.com/post/timeleft-algorithm-the-maestro-of-your-dinners/" TargetMode="External" Id="rId727"/><Relationship Type="http://schemas.openxmlformats.org/officeDocument/2006/relationships/hyperlink" Target="https://help.timeleft.com/hc/en-150/articles/29192588664860-How-Do-Group-Chats-Work" TargetMode="External" Id="rId728"/><Relationship Type="http://schemas.openxmlformats.org/officeDocument/2006/relationships/hyperlink" Target="https://timeleft.com/blog/is-timeleft-safe/" TargetMode="External" Id="rId729"/><Relationship Type="http://schemas.openxmlformats.org/officeDocument/2006/relationships/hyperlink" Target="https://help.timeleft.com/hc/en-150/articles/27963850159516-Partnering-with-Timeleft-Venues-and-Bars" TargetMode="External" Id="rId730"/><Relationship Type="http://schemas.openxmlformats.org/officeDocument/2006/relationships/hyperlink" Target="https://help.timeleft.com/hc/en-150/articles/29193330963868-How-Are-Group-Chats-Moderated" TargetMode="External" Id="rId731"/><Relationship Type="http://schemas.openxmlformats.org/officeDocument/2006/relationships/hyperlink" Target="https://help.timeleft.com/hc/en-150/articles/25012703925148-What-Is-the-No-Show-Penalty-Fee" TargetMode="External" Id="rId732"/><Relationship Type="http://schemas.openxmlformats.org/officeDocument/2006/relationships/hyperlink" Target="https://timeleft.com/safety-guidelines/" TargetMode="External" Id="rId733"/><Relationship Type="http://schemas.openxmlformats.org/officeDocument/2006/relationships/hyperlink" Target="https://timeleft.com/safety-guidelines/" TargetMode="External" Id="rId734"/><Relationship Type="http://schemas.openxmlformats.org/officeDocument/2006/relationships/hyperlink" Target="https://help.timeleft.com/hc/en-150/articles/28529250732444-What-is-Timeleft-and-How-Does-It-Work" TargetMode="External" Id="rId735"/><Relationship Type="http://schemas.openxmlformats.org/officeDocument/2006/relationships/hyperlink" Target="https://help.timeleft.com/hc/en-150/articles/27959212422044-Dietary-Preferences-and-Food-Restrictions" TargetMode="External" Id="rId736"/><Relationship Type="http://schemas.openxmlformats.org/officeDocument/2006/relationships/hyperlink" Target="https://timeleft.com/" TargetMode="External" Id="rId737"/><Relationship Type="http://schemas.openxmlformats.org/officeDocument/2006/relationships/hyperlink" Target="https://timeleft.com/" TargetMode="External" Id="rId738"/><Relationship Type="http://schemas.openxmlformats.org/officeDocument/2006/relationships/hyperlink" Target="https://help.timeleft.com/hc/en-150/articles/28532932215964-How-Do-I-Book-an-Event" TargetMode="External" Id="rId739"/><Relationship Type="http://schemas.openxmlformats.org/officeDocument/2006/relationships/hyperlink" Target="https://help.timeleft.com/hc/en-150/articles/27959085490588-The-Venue-Wouldn-t-Split-the-Bill" TargetMode="External" Id="rId740"/><Relationship Type="http://schemas.openxmlformats.org/officeDocument/2006/relationships/hyperlink" Target="https://help.timeleft.com/hc/en-150/articles/27958879824796-Venue-Rotation-and-Suggestions" TargetMode="External" Id="rId741"/><Relationship Type="http://schemas.openxmlformats.org/officeDocument/2006/relationships/hyperlink" Target="https://help.timeleft.com/hc/en-150/articles/28532667896988-What-types-of-events-does-Timeleft-offer" TargetMode="External" Id="rId742"/><Relationship Type="http://schemas.openxmlformats.org/officeDocument/2006/relationships/hyperlink" Target="https://timeleft.com/blog/how-much-does-a-supper-club-cost/" TargetMode="External" Id="rId743"/><Relationship Type="http://schemas.openxmlformats.org/officeDocument/2006/relationships/hyperlink" Target="https://help.timeleft.com/hc/en-150/articles/27963865308060-What-Subscription-Plans-Are-Available" TargetMode="External" Id="rId744"/><Relationship Type="http://schemas.openxmlformats.org/officeDocument/2006/relationships/hyperlink" Target="https://help.timeleft.com/hc/en-150/articles/28540951555612-My-Promo-Code-Isn-t-Working" TargetMode="External" Id="rId745"/><Relationship Type="http://schemas.openxmlformats.org/officeDocument/2006/relationships/hyperlink" Target="https://help.timeleft.com/hc/en-150/articles/27963870649244-How-Do-I-Use-a-Credit" TargetMode="External" Id="rId746"/><Relationship Type="http://schemas.openxmlformats.org/officeDocument/2006/relationships/hyperlink" Target="https://intercom.help/eatwith/en/articles/432377-how-do-i-search-for-an-event" TargetMode="External" Id="rId747"/><Relationship Type="http://schemas.openxmlformats.org/officeDocument/2006/relationships/hyperlink" Target="https://intercom.help/eatwith/en/articles/8279528-how-do-i-use-the-filters-and-the-map-to-find-an-experience" TargetMode="External" Id="rId748"/><Relationship Type="http://schemas.openxmlformats.org/officeDocument/2006/relationships/hyperlink" Target="https://intercom.help/eatwith/en/articles/432377-how-do-i-search-for-an-event" TargetMode="External" Id="rId749"/><Relationship Type="http://schemas.openxmlformats.org/officeDocument/2006/relationships/hyperlink" Target="https://intercom.help/eatwith/en/articles/1422053-how-do-i-add-an-experience-to-my-wishlist" TargetMode="External" Id="rId750"/><Relationship Type="http://schemas.openxmlformats.org/officeDocument/2006/relationships/hyperlink" Target="https://www.eatwith.com/l/destinations/paris" TargetMode="External" Id="rId751"/><Relationship Type="http://schemas.openxmlformats.org/officeDocument/2006/relationships/hyperlink" Target="https://intercom.help/eatwith/en/articles/3055059-who-can-get-a-star-chef-experience-badge" TargetMode="External" Id="rId752"/><Relationship Type="http://schemas.openxmlformats.org/officeDocument/2006/relationships/hyperlink" Target="https://intercom.help/eatwith/en/articles/1930220-what-happens-once-i-ve-made-a-booking-request" TargetMode="External" Id="rId753"/><Relationship Type="http://schemas.openxmlformats.org/officeDocument/2006/relationships/hyperlink" Target="https://intercom.help/eatwith/en/articles/434101-how-can-i-book-an-experience" TargetMode="External" Id="rId754"/><Relationship Type="http://schemas.openxmlformats.org/officeDocument/2006/relationships/hyperlink" Target="https://intercom.help/eatwith/en/articles/434101-how-can-i-book-an-experience" TargetMode="External" Id="rId755"/><Relationship Type="http://schemas.openxmlformats.org/officeDocument/2006/relationships/hyperlink" Target="https://intercom.help/eatwith/en/articles/986192-what-is-the-cancellation-policy" TargetMode="External" Id="rId756"/><Relationship Type="http://schemas.openxmlformats.org/officeDocument/2006/relationships/hyperlink" Target="https://intercom.help/eatwith/en/articles/434146-when-will-i-receive-the-booking-details-and-exact-experience-location-information" TargetMode="External" Id="rId757"/><Relationship Type="http://schemas.openxmlformats.org/officeDocument/2006/relationships/hyperlink" Target="https://intercom.help/eatwith/en/articles/434101-how-can-i-book-an-experience" TargetMode="External" Id="rId758"/><Relationship Type="http://schemas.openxmlformats.org/officeDocument/2006/relationships/hyperlink" Target="https://intercom.help/eatwith/en/articles/434160-how-do-i-leave-a-review" TargetMode="External" Id="rId759"/><Relationship Type="http://schemas.openxmlformats.org/officeDocument/2006/relationships/hyperlink" Target="https://intercom.help/eatwith/en/articles/2206180-refer-a-friend-give-10-get-10" TargetMode="External" Id="rId760"/><Relationship Type="http://schemas.openxmlformats.org/officeDocument/2006/relationships/hyperlink" Target="https://intercom.help/eatwith/en/articles/2206180-refer-a-friend-give-10-get-10" TargetMode="External" Id="rId761"/><Relationship Type="http://schemas.openxmlformats.org/officeDocument/2006/relationships/hyperlink" Target="https://www.eatwith.com/l/destinations/paris" TargetMode="External" Id="rId762"/><Relationship Type="http://schemas.openxmlformats.org/officeDocument/2006/relationships/hyperlink" Target="https://intercom.help/eatwith/en/articles/3675985-marketing-toolkit-for-hosts" TargetMode="External" Id="rId763"/><Relationship Type="http://schemas.openxmlformats.org/officeDocument/2006/relationships/hyperlink" Target="https://intercom.help/eatwith/en/articles/3675985-marketing-toolkit-for-hosts" TargetMode="External" Id="rId764"/><Relationship Type="http://schemas.openxmlformats.org/officeDocument/2006/relationships/hyperlink" Target="https://intercom.help/eatwith/en/articles/1423009-how-do-i-create-a-new-experience" TargetMode="External" Id="rId765"/><Relationship Type="http://schemas.openxmlformats.org/officeDocument/2006/relationships/hyperlink" Target="https://intercom.help/eatwith/en/articles/8032004-hosts-calendar-how-to-manage-your-availability" TargetMode="External" Id="rId766"/><Relationship Type="http://schemas.openxmlformats.org/officeDocument/2006/relationships/hyperlink" Target="https://intercom.help/eatwith/en/articles/5662208-hosting-private-and-or-open-events-on-eatwith" TargetMode="External" Id="rId767"/><Relationship Type="http://schemas.openxmlformats.org/officeDocument/2006/relationships/hyperlink" Target="https://intercom.help/eatwith/en/articles/432225-where-can-i-find-the-contact-details-of-my-guests" TargetMode="External" Id="rId768"/><Relationship Type="http://schemas.openxmlformats.org/officeDocument/2006/relationships/hyperlink" Target="https://intercom.help/eatwith/en/articles/432223-how-can-i-communicate-with-my-guests" TargetMode="External" Id="rId769"/><Relationship Type="http://schemas.openxmlformats.org/officeDocument/2006/relationships/hyperlink" Target="https://intercom.help/eatwith/en/articles/432236-how-do-payments-work-for-hosts" TargetMode="External" Id="rId770"/><Relationship Type="http://schemas.openxmlformats.org/officeDocument/2006/relationships/hyperlink" Target="https://intercom.help/eatwith/en/articles/3675985-marketing-toolkit-for-hosts" TargetMode="External" Id="rId771"/><Relationship Type="http://schemas.openxmlformats.org/officeDocument/2006/relationships/hyperlink" Target="https://intercom.help/eatwith/en/articles/3865728-does-eatwith-have-integrations-with-fareharbor-bokun-rezby-or-tock" TargetMode="External" Id="rId772"/><Relationship Type="http://schemas.openxmlformats.org/officeDocument/2006/relationships/hyperlink" Target="https://intercom.help/eatwith/en/articles/432349-how-much-does-it-cost-to-host-with-eatwith" TargetMode="External" Id="rId773"/><Relationship Type="http://schemas.openxmlformats.org/officeDocument/2006/relationships/hyperlink" Target="https://intercom.help/eatwith/en/articles/4118435-pricing-your-experiences" TargetMode="External" Id="rId774"/><Relationship Type="http://schemas.openxmlformats.org/officeDocument/2006/relationships/hyperlink" Target="https://intercom.help/eatwith/en/articles/432225-where-can-i-find-the-contact-details-of-my-guests" TargetMode="External" Id="rId775"/><Relationship Type="http://schemas.openxmlformats.org/officeDocument/2006/relationships/hyperlink" Target="https://travelpayouts.com/blog/eatwith-affiliate-program/" TargetMode="External" Id="rId776"/><Relationship Type="http://schemas.openxmlformats.org/officeDocument/2006/relationships/hyperlink" Target="https://intercom.help/eatwith/en/collections/128277-eatwith-hosts" TargetMode="External" Id="rId777"/><Relationship Type="http://schemas.openxmlformats.org/officeDocument/2006/relationships/hyperlink" Target="https://intercom.help/eatwith/en/articles/432210-how-can-i-promote-my-event" TargetMode="External" Id="rId778"/><Relationship Type="http://schemas.openxmlformats.org/officeDocument/2006/relationships/hyperlink" Target="https://intercom.help/eatwith/en/articles/3055059-who-can-get-a-star-chef-experience-badge" TargetMode="External" Id="rId779"/><Relationship Type="http://schemas.openxmlformats.org/officeDocument/2006/relationships/hyperlink" Target="https://intercom.help/eatwith/en/articles/1497789-write-reviews-for-your-guests" TargetMode="External" Id="rId780"/><Relationship Type="http://schemas.openxmlformats.org/officeDocument/2006/relationships/hyperlink" Target="https://intercom.help/eatwith/en/articles/432223-how-can-i-communicate-with-my-guests" TargetMode="External" Id="rId781"/><Relationship Type="http://schemas.openxmlformats.org/officeDocument/2006/relationships/hyperlink" Target="https://intercom.help/eatwith/en/articles/432234-how-do-i-know-if-a-guest-can-be-trusted" TargetMode="External" Id="rId782"/><Relationship Type="http://schemas.openxmlformats.org/officeDocument/2006/relationships/hyperlink" Target="https://intercom.help/eatwith/en/articles/2680329-how-do-i-become-an-eatwith-host" TargetMode="External" Id="rId783"/><Relationship Type="http://schemas.openxmlformats.org/officeDocument/2006/relationships/hyperlink" Target="https://intercom.help/eatwith/en/articles/432235-what-happens-if-i-have-a-bad-experience-with-a-guest" TargetMode="External" Id="rId784"/><Relationship Type="http://schemas.openxmlformats.org/officeDocument/2006/relationships/hyperlink" Target="https://intercom.help/eatwith/en/articles/986192-what-is-the-cancellation-policy" TargetMode="External" Id="rId785"/><Relationship Type="http://schemas.openxmlformats.org/officeDocument/2006/relationships/hyperlink" Target="https://intercom.help/eatwith/en/articles/432234-how-do-i-know-if-a-guest-can-be-trusted" TargetMode="External" Id="rId786"/><Relationship Type="http://schemas.openxmlformats.org/officeDocument/2006/relationships/hyperlink" Target="https://intercom.help/eatwith/en/articles/432243-are-payments-in-cash-allowed" TargetMode="External" Id="rId787"/><Relationship Type="http://schemas.openxmlformats.org/officeDocument/2006/relationships/hyperlink" Target="https://intercom.help/eatwith/en/articles/432393-what-is-included-in-the-price-of-an-experience" TargetMode="External" Id="rId788"/><Relationship Type="http://schemas.openxmlformats.org/officeDocument/2006/relationships/hyperlink" Target="https://intercom.help/eatwith/en/articles/8287460-how-do-i-know-if-my-host-can-accommodate-my-allergies-dietary-restrictions" TargetMode="External" Id="rId789"/><Relationship Type="http://schemas.openxmlformats.org/officeDocument/2006/relationships/hyperlink" Target="https://intercom.help/eatwith/en/articles/429231-i-m-a-professional-chef-and-or-i-have-a-restaurant-can-i-be-a-host" TargetMode="External" Id="rId790"/><Relationship Type="http://schemas.openxmlformats.org/officeDocument/2006/relationships/hyperlink" Target="https://intercom.help/eatwith/en/articles/8032004-hosts-calendar-how-to-manage-your-availability" TargetMode="External" Id="rId791"/><Relationship Type="http://schemas.openxmlformats.org/officeDocument/2006/relationships/hyperlink" Target="https://intercom.help/eatwith/en/articles/5662208-hosting-private-and-or-open-events-on-eatwith" TargetMode="External" Id="rId792"/><Relationship Type="http://schemas.openxmlformats.org/officeDocument/2006/relationships/hyperlink" Target="https://intercom.help/eatwith/en/articles/1441940-how-to-display-your-menu" TargetMode="External" Id="rId793"/><Relationship Type="http://schemas.openxmlformats.org/officeDocument/2006/relationships/hyperlink" Target="https://intercom.help/eatwith/en/articles/4155989-managing-payments-for-private-events" TargetMode="External" Id="rId794"/><Relationship Type="http://schemas.openxmlformats.org/officeDocument/2006/relationships/hyperlink" Target="https://intercom.help/eatwith/en/articles/8279528-how-do-i-use-the-filters-and-the-map-to-find-an-experience" TargetMode="External" Id="rId795"/><Relationship Type="http://schemas.openxmlformats.org/officeDocument/2006/relationships/hyperlink" Target="https://intercom.help/eatwith/en/articles/5662208-hosting-private-and-or-open-events-on-eatwith" TargetMode="External" Id="rId796"/><Relationship Type="http://schemas.openxmlformats.org/officeDocument/2006/relationships/hyperlink" Target="https://intercom.help/eatwith/en/articles/429237-what-type-of-experience-can-i-offer" TargetMode="External" Id="rId797"/><Relationship Type="http://schemas.openxmlformats.org/officeDocument/2006/relationships/hyperlink" Target="https://intercom.help/eatwith/en/articles/4118435-pricing-your-experiences" TargetMode="External" Id="rId798"/><Relationship Type="http://schemas.openxmlformats.org/officeDocument/2006/relationships/hyperlink" Target="https://intercom.help/eatwith/en/articles/432349-how-much-does-it-cost-to-host-with-eatwith" TargetMode="External" Id="rId799"/><Relationship Type="http://schemas.openxmlformats.org/officeDocument/2006/relationships/hyperlink" Target="https://intercom.help/eatwith/en/articles/8279504-should-i-tip-the-host-after-an-eatwith-experience-gratuity" TargetMode="External" Id="rId800"/><Relationship Type="http://schemas.openxmlformats.org/officeDocument/2006/relationships/hyperlink" Target="https://intercom.help/eatwith/en/articles/1421963-how-do-i-purchase-a-gift-card" TargetMode="External" Id="rId801"/><Relationship Type="http://schemas.openxmlformats.org/officeDocument/2006/relationships/hyperlink" Target="https://apps.apple.com/app/id1509667820" TargetMode="External" Id="rId802"/><Relationship Type="http://schemas.openxmlformats.org/officeDocument/2006/relationships/hyperlink" Target="https://apps.apple.com/app/id1509667820" TargetMode="External" Id="rId803"/><Relationship Type="http://schemas.openxmlformats.org/officeDocument/2006/relationships/hyperlink" Target="https://apps.apple.com/app/id1509667820" TargetMode="External" Id="rId804"/><Relationship Type="http://schemas.openxmlformats.org/officeDocument/2006/relationships/hyperlink" Target="https://apps.apple.com/app/id1509667820" TargetMode="External" Id="rId805"/><Relationship Type="http://schemas.openxmlformats.org/officeDocument/2006/relationships/hyperlink" Target="https://www.aol.com/news/tried-pie-social-million-dollar-130801270.html" TargetMode="External" Id="rId806"/><Relationship Type="http://schemas.openxmlformats.org/officeDocument/2006/relationships/hyperlink" Target="https://apps.apple.com/app/id1509667820" TargetMode="External" Id="rId807"/><Relationship Type="http://schemas.openxmlformats.org/officeDocument/2006/relationships/hyperlink" Target="https://apps.apple.com/app/id1509667820" TargetMode="External" Id="rId808"/><Relationship Type="http://schemas.openxmlformats.org/officeDocument/2006/relationships/hyperlink" Target="https://apps.apple.com/app/id1509667820" TargetMode="External" Id="rId809"/><Relationship Type="http://schemas.openxmlformats.org/officeDocument/2006/relationships/hyperlink" Target="https://apps.apple.com/app/id1509667820" TargetMode="External" Id="rId810"/><Relationship Type="http://schemas.openxmlformats.org/officeDocument/2006/relationships/hyperlink" Target="https://apps.apple.com/app/id1509667820" TargetMode="External" Id="rId811"/><Relationship Type="http://schemas.openxmlformats.org/officeDocument/2006/relationships/hyperlink" Target="https://www.mediapost.com/publications/article/416426/can-pie-cure-loneliness-new-cmo-believes-it-can.html" TargetMode="External" Id="rId812"/><Relationship Type="http://schemas.openxmlformats.org/officeDocument/2006/relationships/hyperlink" Target="https://apps.apple.com/app/id1509667820" TargetMode="External" Id="rId813"/><Relationship Type="http://schemas.openxmlformats.org/officeDocument/2006/relationships/hyperlink" Target="https://apps.apple.com/app/id1509667820" TargetMode="External" Id="rId814"/><Relationship Type="http://schemas.openxmlformats.org/officeDocument/2006/relationships/hyperlink" Target="https://apps.apple.com/app/id1509667820" TargetMode="External" Id="rId815"/><Relationship Type="http://schemas.openxmlformats.org/officeDocument/2006/relationships/hyperlink" Target="https://apps.apple.com/app/id1509667820" TargetMode="External" Id="rId816"/><Relationship Type="http://schemas.openxmlformats.org/officeDocument/2006/relationships/hyperlink" Target="https://apps.apple.com/app/id1509667820" TargetMode="External" Id="rId817"/><Relationship Type="http://schemas.openxmlformats.org/officeDocument/2006/relationships/hyperlink" Target="https://apps.apple.com/app/id1509667820" TargetMode="External" Id="rId818"/><Relationship Type="http://schemas.openxmlformats.org/officeDocument/2006/relationships/hyperlink" Target="https://apps.apple.com/app/id1509667820" TargetMode="External" Id="rId819"/><Relationship Type="http://schemas.openxmlformats.org/officeDocument/2006/relationships/hyperlink" Target="https://apps.apple.com/app/id1509667820" TargetMode="External" Id="rId820"/><Relationship Type="http://schemas.openxmlformats.org/officeDocument/2006/relationships/hyperlink" Target="https://techcrunch.com/2024/11/19/irl-social-app-pie-is-coming-to-sf-to-make-you-less-lonely" TargetMode="External" Id="rId821"/><Relationship Type="http://schemas.openxmlformats.org/officeDocument/2006/relationships/hyperlink" Target="https://techcrunch.com/2025/03/04/andy-dunns-new-app-pie-uses-ai-to-help-you-make-friends" TargetMode="External" Id="rId822"/><Relationship Type="http://schemas.openxmlformats.org/officeDocument/2006/relationships/hyperlink" Target="https://apps.apple.com/app/id1509667820" TargetMode="External" Id="rId823"/><Relationship Type="http://schemas.openxmlformats.org/officeDocument/2006/relationships/hyperlink" Target="https://www.aol.com/news/tried-pie-social-million-dollar-130801270.html" TargetMode="External" Id="rId824"/><Relationship Type="http://schemas.openxmlformats.org/officeDocument/2006/relationships/hyperlink" Target="https://techcrunch.com/2024/11/19/irl-social-app-pie-is-coming-to-sf-to-make-you-less-lonely" TargetMode="External" Id="rId825"/><Relationship Type="http://schemas.openxmlformats.org/officeDocument/2006/relationships/hyperlink" Target="https://www.aol.com/news/tried-pie-social-million-dollar-130801270.html" TargetMode="External" Id="rId826"/></Relationships>
</file>

<file path=xl/worksheets/_rels/sheet10.xml.rels><Relationships xmlns="http://schemas.openxmlformats.org/package/2006/relationships"><Relationship Type="http://schemas.openxmlformats.org/officeDocument/2006/relationships/hyperlink" Target="https://about.fb.com/news/2024/10/facebook-local-tab-messenger-communities-ai/amp/" TargetMode="External" Id="rId1"/><Relationship Type="http://schemas.openxmlformats.org/officeDocument/2006/relationships/hyperlink" Target="https://www.universe.com/pricing" TargetMode="External" Id="rId2"/><Relationship Type="http://schemas.openxmlformats.org/officeDocument/2006/relationships/hyperlink" Target="https://fortune.com/2026/03/19/exclusive-posh-lands-37m-series-b-what-are-we-doing-tonight-problem/" TargetMode="External" Id="rId3"/><Relationship Type="http://schemas.openxmlformats.org/officeDocument/2006/relationships/hyperlink" Target="https://fortune.com/2024/09/09/paperless-post-sibling-cofounders-james-alexa-hirschfeld-b2b-event-management/" TargetMode="External" Id="rId4"/><Relationship Type="http://schemas.openxmlformats.org/officeDocument/2006/relationships/hyperlink" Target="https://www.tickettailor.com/us/pricing/" TargetMode="External" Id="rId5"/><Relationship Type="http://schemas.openxmlformats.org/officeDocument/2006/relationships/hyperlink" Target="https://hi.events/pricing" TargetMode="External" Id="rId6"/><Relationship Type="http://schemas.openxmlformats.org/officeDocument/2006/relationships/hyperlink" Target="https://www.doorkeeper.jp/pricing" TargetMode="External" Id="rId7"/><Relationship Type="http://schemas.openxmlformats.org/officeDocument/2006/relationships/hyperlink" Target="https://prtimes.jp/main/html/rd/p/000000015.000183857.html" TargetMode="External" Id="rId8"/><Relationship Type="http://schemas.openxmlformats.org/officeDocument/2006/relationships/hyperlink" Target="https://www.street-academy.com/fee" TargetMode="External" Id="rId9"/><Relationship Type="http://schemas.openxmlformats.org/officeDocument/2006/relationships/hyperlink" Target="https://info.eventregist.com/" TargetMode="External" Id="rId10"/><Relationship Type="http://schemas.openxmlformats.org/officeDocument/2006/relationships/hyperlink" Target="https://thanks.yahoo.co.jp/" TargetMode="External" Id="rId11"/><Relationship Type="http://schemas.openxmlformats.org/officeDocument/2006/relationships/hyperlink" Target="https://prtimes.jp/main/html/rd/p/000000265.000020019.html" TargetMode="External" Id="rId12"/><Relationship Type="http://schemas.openxmlformats.org/officeDocument/2006/relationships/hyperlink" Target="https://about.daangn.com/company/pr/archive/%EB%8B%B9%EA%B7%BC-2025%EB%85%84-%EC%97%B0%EA%B0%84-%EC%8B%A4%EC%A0%81-%EB%B0%9C%ED%91%9C/" TargetMode="External" Id="rId13"/><Relationship Type="http://schemas.openxmlformats.org/officeDocument/2006/relationships/hyperlink" Target="https://www.mt.co.kr/future/2022/03/07/2022030712570046534" TargetMode="External" Id="rId14"/><Relationship Type="http://schemas.openxmlformats.org/officeDocument/2006/relationships/hyperlink" Target="https://www.chinanews.com.cn/cj/2026/05-28/10629933.shtml" TargetMode="External" Id="rId15"/><Relationship Type="http://schemas.openxmlformats.org/officeDocument/2006/relationships/hyperlink" Target="https://accupass.uservoice.com/knowledgebase/articles/900876-%E6%B4%BB%E5%8B%95%E7%A5%A8%E6%AC%BE%E7%B5%90%E7%AE%97%E6%B5%81%E7%A8%8B%E8%88%87%E7%94%B3%E8%AB%8B%E8%AA%AA%E6%98%8E" TargetMode="External" Id="rId16"/><Relationship Type="http://schemas.openxmlformats.org/officeDocument/2006/relationships/hyperlink" Target="https://inc42.com/?p=571141" TargetMode="External" Id="rId17"/><Relationship Type="http://schemas.openxmlformats.org/officeDocument/2006/relationships/hyperlink" Target="https://pro.ra.co/" TargetMode="External" Id="rId18"/><Relationship Type="http://schemas.openxmlformats.org/officeDocument/2006/relationships/hyperlink" Target="https://help.promotioncentre.co.uk/en/articles/9362892-what-is-the-booking-fee-rate-on-skiddle" TargetMode="External" Id="rId19"/><Relationship Type="http://schemas.openxmlformats.org/officeDocument/2006/relationships/hyperlink" Target="https://www.carenews.com/fr/news/lea-thomassin-le-modele-economique-du-pourboire-correspond-a-l-adn-du-secteur-associatif" TargetMode="External" Id="rId20"/><Relationship Type="http://schemas.openxmlformats.org/officeDocument/2006/relationships/hyperlink" Target="https://www.oztix.com.au/about" TargetMode="External" Id="rId21"/><Relationship Type="http://schemas.openxmlformats.org/officeDocument/2006/relationships/hyperlink" Target="https://www.sympla.com.br/" TargetMode="External" Id="rId22"/><Relationship Type="http://schemas.openxmlformats.org/officeDocument/2006/relationships/hyperlink" Target="https://infonegocios.com.py/default/passline-la-plataforma-de-autogestion-de-eventos-busca-expandirse-a-nuevos-rubros" TargetMode="External" Id="rId23"/><Relationship Type="http://schemas.openxmlformats.org/officeDocument/2006/relationships/hyperlink" Target="https://platinumlist.net/for-organisers/" TargetMode="External" Id="rId24"/><Relationship Type="http://schemas.openxmlformats.org/officeDocument/2006/relationships/hyperlink" Target="https://www.howler.co.za/" TargetMode="External" Id="rId25"/></Relationships>
</file>

<file path=xl/worksheets/_rels/sheet11.xml.rels><Relationships xmlns="http://schemas.openxmlformats.org/package/2006/relationships"><Relationship Type="http://schemas.openxmlformats.org/officeDocument/2006/relationships/hyperlink" Target="https://www.universe.com/pricing" TargetMode="External" Id="rId1"/><Relationship Type="http://schemas.openxmlformats.org/officeDocument/2006/relationships/hyperlink" Target="https://www.tickettailor.com/us/pricing/" TargetMode="External" Id="rId2"/><Relationship Type="http://schemas.openxmlformats.org/officeDocument/2006/relationships/hyperlink" Target="https://pretix.eu/about/en/pricing" TargetMode="External" Id="rId3"/><Relationship Type="http://schemas.openxmlformats.org/officeDocument/2006/relationships/hyperlink" Target="https://fienta.com/en/pricing" TargetMode="External" Id="rId4"/><Relationship Type="http://schemas.openxmlformats.org/officeDocument/2006/relationships/hyperlink" Target="https://www.b2bstack.com.br/product/sympla/avaliacoes" TargetMode="External" Id="rId5"/><Relationship Type="http://schemas.openxmlformats.org/officeDocument/2006/relationships/hyperlink" Target="https://pulse2.com/zeffy-profile-francois-de-kerret-interview/" TargetMode="External" Id="rId6"/><Relationship Type="http://schemas.openxmlformats.org/officeDocument/2006/relationships/hyperlink" Target="https://www.doorkeeper.jp/pricing" TargetMode="External" Id="rId7"/><Relationship Type="http://schemas.openxmlformats.org/officeDocument/2006/relationships/hyperlink" Target="https://www.kokuchpro.com/pages/prices/" TargetMode="External" Id="rId8"/><Relationship Type="http://schemas.openxmlformats.org/officeDocument/2006/relationships/hyperlink" Target="https://info.eventregist.com/" TargetMode="External" Id="rId9"/><Relationship Type="http://schemas.openxmlformats.org/officeDocument/2006/relationships/hyperlink" Target="https://www.street-academy.com/fee" TargetMode="External" Id="rId10"/><Relationship Type="http://schemas.openxmlformats.org/officeDocument/2006/relationships/hyperlink" Target="https://www.mt.co.kr/future/2022/03/07/2022030712570046534" TargetMode="External" Id="rId11"/></Relationships>
</file>

<file path=xl/worksheets/sheet1.xml><?xml version="1.0" encoding="utf-8"?>
<worksheet xmlns="http://schemas.openxmlformats.org/spreadsheetml/2006/main">
  <sheetPr>
    <outlinePr summaryBelow="1" summaryRight="1"/>
    <pageSetUpPr/>
  </sheetPr>
  <dimension ref="A1:B30"/>
  <sheetViews>
    <sheetView showGridLines="1" workbookViewId="0">
      <selection activeCell="A1" sqref="A1"/>
    </sheetView>
  </sheetViews>
  <sheetFormatPr baseColWidth="8" defaultRowHeight="15"/>
  <cols>
    <col width="28" customWidth="1" min="1" max="1"/>
    <col width="100" customWidth="1" min="2" max="2"/>
  </cols>
  <sheetData>
    <row r="1">
      <c r="A1" s="1" t="inlineStr">
        <is>
          <t>競合調査:イベント告知サービスと飲食店向けSaaS(スプレッドシート版)</t>
        </is>
      </c>
    </row>
    <row r="3">
      <c r="A3" s="2" t="inlineStr">
        <is>
          <t>調査日</t>
        </is>
      </c>
      <c r="B3" s="3" t="inlineStr">
        <is>
          <t>2026-10-11</t>
        </is>
      </c>
    </row>
    <row r="4">
      <c r="A4" s="2" t="inlineStr">
        <is>
          <t>目的</t>
        </is>
      </c>
      <c r="B4" s="3" t="inlineStr">
        <is>
          <t>Shokujii の機能開発とグロース施策の意思決定に使うため、世界のイベント告知・集客・コミュニティ系サービスと飲食店向け SaaS の調査結果を、表として見やすくまとめたもの。</t>
        </is>
      </c>
    </row>
    <row r="5">
      <c r="A5" s="2" t="inlineStr">
        <is>
          <t>元の資料</t>
        </is>
      </c>
      <c r="B5" s="3" t="inlineStr">
        <is>
          <t>リポジトリの documents/14_競合調査/ の Markdown 文書と 30_機能比較/data の CSV。このファイルはその時点のスナップショットで、正本は Markdown と CSV。更新は正本を直してから再生成する。</t>
        </is>
      </c>
    </row>
    <row r="6">
      <c r="A6" s="2" t="inlineStr"/>
      <c r="B6" s="3" t="inlineStr"/>
    </row>
    <row r="7">
      <c r="A7" s="4" t="inlineStr">
        <is>
          <t>シート</t>
        </is>
      </c>
      <c r="B7" s="4" t="inlineStr">
        <is>
          <t>内容</t>
        </is>
      </c>
    </row>
    <row r="8">
      <c r="A8" s="2" t="inlineStr">
        <is>
          <t>機能マトリクス</t>
        </is>
      </c>
      <c r="B8" s="3" t="inlineStr">
        <is>
          <t>競合15サービス×77機能+自社の判定一覧(✅△❌？)。色分け・フィルタ付き。競合✅/△の数と下部の集計は数式</t>
        </is>
      </c>
    </row>
    <row r="9">
      <c r="A9" s="2" t="inlineStr">
        <is>
          <t>機能定義</t>
        </is>
      </c>
      <c r="B9" s="3" t="inlineStr">
        <is>
          <t>77機能の定義と「✅の条件」</t>
        </is>
      </c>
    </row>
    <row r="10">
      <c r="A10" s="2" t="inlineStr">
        <is>
          <t>判定詳細</t>
        </is>
      </c>
      <c r="B10" s="3" t="inlineStr">
        <is>
          <t>サービス×機能ごとの判定・根拠レベル・根拠URL・備考(1,232行)。サービス・判定でフィルタできる</t>
        </is>
      </c>
    </row>
    <row r="11">
      <c r="A11" s="2" t="inlineStr">
        <is>
          <t>有力機能の評価</t>
        </is>
      </c>
      <c r="B11" s="3" t="inlineStr">
        <is>
          <t>機能ごとの普及度(競合✅数)と、成長への根拠の強さ・位置づけ・自社の状態</t>
        </is>
      </c>
    </row>
    <row r="12">
      <c r="A12" s="2" t="inlineStr">
        <is>
          <t>機能外の成長要因</t>
        </is>
      </c>
      <c r="B12" s="3" t="inlineStr">
        <is>
          <t>機能一覧に行がないが成長に効いた要因(個別アウトリーチ、参加者から主催者への転換 等)</t>
        </is>
      </c>
    </row>
    <row r="13">
      <c r="A13" s="2" t="inlineStr">
        <is>
          <t>機能が牽引した事例</t>
        </is>
      </c>
      <c r="B13" s="3" t="inlineStr">
        <is>
          <t>特定の機能・モデルがグロースを牽引した事例と因果の強さ</t>
        </is>
      </c>
    </row>
    <row r="14">
      <c r="A14" s="2" t="inlineStr">
        <is>
          <t>サービス別グロース</t>
        </is>
      </c>
      <c r="B14" s="3" t="inlineStr">
        <is>
          <t>創業・初期トラクション・主な獲得チャネル・牽引機能・累計調達・成長スピード・収益性</t>
        </is>
      </c>
    </row>
    <row r="15">
      <c r="A15" s="2" t="inlineStr">
        <is>
          <t>規模到達と調達</t>
        </is>
      </c>
      <c r="B15" s="3" t="inlineStr">
        <is>
          <t>規模に到達するまでの期間とその間の調達</t>
        </is>
      </c>
    </row>
    <row r="16">
      <c r="A16" s="2" t="inlineStr">
        <is>
          <t>サービス一覧</t>
        </is>
      </c>
      <c r="B16" s="3" t="inlineStr">
        <is>
          <t>地域・カテゴリ別のサービス一覧(規模・収益モデル・手数料・特徴・信頼度)</t>
        </is>
      </c>
    </row>
    <row r="17">
      <c r="A17" s="2" t="inlineStr">
        <is>
          <t>手数料比較</t>
        </is>
      </c>
      <c r="B17" s="3" t="inlineStr">
        <is>
          <t>無料イベント・有料イベントの手数料と負担者の横断比較</t>
        </is>
      </c>
    </row>
    <row r="18">
      <c r="A18" s="2" t="inlineStr">
        <is>
          <t>飲食店SaaS一覧</t>
        </is>
      </c>
      <c r="B18" s="3" t="inlineStr">
        <is>
          <t>飲食店向けサービスの一覧(領域・料金の目安・導入数・信頼度)</t>
        </is>
      </c>
    </row>
    <row r="19">
      <c r="A19" s="2" t="inlineStr">
        <is>
          <t>予約サイト課金</t>
        </is>
      </c>
      <c r="B19" s="3" t="inlineStr">
        <is>
          <t>日本のネット予約サイトの来店課金の比較(3,000円/人コースの概算)</t>
        </is>
      </c>
    </row>
    <row r="20">
      <c r="A20" s="2" t="inlineStr">
        <is>
          <t>店舗向け機能比較</t>
        </is>
      </c>
      <c r="B20" s="3" t="inlineStr">
        <is>
          <t>予約台帳・イベント/貸切サービスの機能×サービス比較(国内・海外)</t>
        </is>
      </c>
    </row>
    <row r="21">
      <c r="A21" s="2" t="inlineStr">
        <is>
          <t>Shokujii施策案</t>
        </is>
      </c>
      <c r="B21" s="3" t="inlineStr">
        <is>
          <t>段階別の施策案(推測)と、他社の根拠・既存企画IDの対応</t>
        </is>
      </c>
    </row>
    <row r="22">
      <c r="A22" s="2" t="inlineStr">
        <is>
          <t>先行文書の訂正</t>
        </is>
      </c>
      <c r="B22" s="3" t="inlineStr">
        <is>
          <t>先行の文書の記述との食い違い・追記候補</t>
        </is>
      </c>
    </row>
    <row r="23">
      <c r="A23" s="2" t="inlineStr"/>
      <c r="B23" s="3" t="inlineStr"/>
    </row>
    <row r="24">
      <c r="A24" s="4" t="inlineStr">
        <is>
          <t>判定値の凡例</t>
        </is>
      </c>
      <c r="B24" s="4" t="inlineStr"/>
    </row>
    <row r="25">
      <c r="A25" s="5" t="inlineStr">
        <is>
          <t>✅</t>
        </is>
      </c>
      <c r="B25" s="3" t="inlineStr">
        <is>
          <t>ある(根拠を確認済み)</t>
        </is>
      </c>
    </row>
    <row r="26">
      <c r="A26" s="6" t="inlineStr">
        <is>
          <t>△</t>
        </is>
      </c>
      <c r="B26" s="3" t="inlineStr">
        <is>
          <t>一部・有料プラン限定・地域限定・条件付き(備考に条件)</t>
        </is>
      </c>
    </row>
    <row r="27">
      <c r="A27" s="7" t="inlineStr">
        <is>
          <t>❌</t>
        </is>
      </c>
      <c r="B27" s="3" t="inlineStr">
        <is>
          <t>ないと確認(公式に非対応と明記、実機で確認)</t>
        </is>
      </c>
    </row>
    <row r="28">
      <c r="A28" s="8" t="inlineStr">
        <is>
          <t>？</t>
        </is>
      </c>
      <c r="B28" s="3" t="inlineStr">
        <is>
          <t>確認できなかった。非対応を意味しない</t>
        </is>
      </c>
    </row>
    <row r="29">
      <c r="A29" s="2" t="inlineStr"/>
      <c r="B29" s="3" t="inlineStr"/>
    </row>
    <row r="30">
      <c r="A30" s="2" t="inlineStr">
        <is>
          <t>読むときの注意</t>
        </is>
      </c>
      <c r="B30" s="3" t="inlineStr">
        <is>
          <t>- 主催者の管理画面(ログイン内)は未確認が多く、主催者運用(OP)系は過小評価の可能性がある
- 自社の✅はコード確認(origin/main v2.14.0)で、本番のデプロイ状態は未確認
- 食事ソーシャル系は二次情報のみのものを△にしており、他の担当とルールが異なる
- Timeleft の❌25件のうち19件は「モデル上なし」(公式に不在が明記されたものではない)
- 成長への根拠の強さは評価者の判断([推測])。多くは相関で、因果を示す根拠は少ない
- 数値は自社主張・二次情報を含む。出典間の食い違いは併記している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87"/>
  <sheetViews>
    <sheetView showGridLines="1"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30"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s>
  <sheetData>
    <row r="1">
      <c r="A1" s="1" t="inlineStr">
        <is>
          <t>機能マトリクス:競合15サービス × 77機能 + 自社</t>
        </is>
      </c>
    </row>
    <row r="2">
      <c r="A2" s="9" t="inlineStr">
        <is>
          <t>✅あり / △一部・有料・条件付き / ❌ないと確認 / ？確認できず(非対応ではない)。競合✅・競合△は右の15サービスの数(数式)。</t>
        </is>
      </c>
    </row>
    <row r="4" ht="30" customHeight="1">
      <c r="A4" s="10" t="inlineStr">
        <is>
          <t>ID</t>
        </is>
      </c>
      <c r="B4" s="10" t="inlineStr">
        <is>
          <t>分類</t>
        </is>
      </c>
      <c r="C4" s="10" t="inlineStr">
        <is>
          <t>機能</t>
        </is>
      </c>
      <c r="D4" s="11" t="inlineStr">
        <is>
          <t>競合✅</t>
        </is>
      </c>
      <c r="E4" s="11" t="inlineStr">
        <is>
          <t>競合△</t>
        </is>
      </c>
      <c r="F4" s="11" t="inlineStr">
        <is>
          <t>自社</t>
        </is>
      </c>
      <c r="G4" s="11" t="inlineStr">
        <is>
          <t>Eventbrite</t>
        </is>
      </c>
      <c r="H4" s="11" t="inlineStr">
        <is>
          <t>Meetup</t>
        </is>
      </c>
      <c r="I4" s="11" t="inlineStr">
        <is>
          <t>DICE</t>
        </is>
      </c>
      <c r="J4" s="11" t="inlineStr">
        <is>
          <t>Ticket Tailor</t>
        </is>
      </c>
      <c r="K4" s="11" t="inlineStr">
        <is>
          <t>Luma</t>
        </is>
      </c>
      <c r="L4" s="11" t="inlineStr">
        <is>
          <t>Partiful</t>
        </is>
      </c>
      <c r="M4" s="11" t="inlineStr">
        <is>
          <t>Posh</t>
        </is>
      </c>
      <c r="N4" s="11" t="inlineStr">
        <is>
          <t>Peatix</t>
        </is>
      </c>
      <c r="O4" s="11" t="inlineStr">
        <is>
          <t>Doorkeeper</t>
        </is>
      </c>
      <c r="P4" s="11" t="inlineStr">
        <is>
          <t>connpass</t>
        </is>
      </c>
      <c r="Q4" s="11" t="inlineStr">
        <is>
          <t>こくちーず</t>
        </is>
      </c>
      <c r="R4" s="11" t="inlineStr">
        <is>
          <t>ストアカ</t>
        </is>
      </c>
      <c r="S4" s="11" t="inlineStr">
        <is>
          <t>Timeleft</t>
        </is>
      </c>
      <c r="T4" s="11" t="inlineStr">
        <is>
          <t>Eatwith</t>
        </is>
      </c>
      <c r="U4" s="11" t="inlineStr">
        <is>
          <t>Pie</t>
        </is>
      </c>
    </row>
    <row r="5">
      <c r="A5" s="12" t="inlineStr">
        <is>
          <t>DS01</t>
        </is>
      </c>
      <c r="B5" s="12" t="inlineStr">
        <is>
          <t>DS 発見・探索(参加者側の入口)</t>
        </is>
      </c>
      <c r="C5" s="12" t="inlineStr">
        <is>
          <t>キーワード・カテゴリ検索</t>
        </is>
      </c>
      <c r="D5" s="13">
        <f>COUNTIF(G5:U5,"✅")</f>
        <v/>
      </c>
      <c r="E5" s="13">
        <f>COUNTIF(G5:U5,"△")</f>
        <v/>
      </c>
      <c r="F5" s="13" t="inlineStr">
        <is>
          <t>△</t>
        </is>
      </c>
      <c r="G5" s="13" t="inlineStr">
        <is>
          <t>✅</t>
        </is>
      </c>
      <c r="H5" s="13" t="inlineStr">
        <is>
          <t>✅</t>
        </is>
      </c>
      <c r="I5" s="13" t="inlineStr">
        <is>
          <t>✅</t>
        </is>
      </c>
      <c r="J5" s="13" t="inlineStr">
        <is>
          <t>△</t>
        </is>
      </c>
      <c r="K5" s="13" t="inlineStr">
        <is>
          <t>✅</t>
        </is>
      </c>
      <c r="L5" s="13" t="inlineStr">
        <is>
          <t>？</t>
        </is>
      </c>
      <c r="M5" s="13" t="inlineStr">
        <is>
          <t>△</t>
        </is>
      </c>
      <c r="N5" s="13" t="inlineStr">
        <is>
          <t>✅</t>
        </is>
      </c>
      <c r="O5" s="13" t="inlineStr">
        <is>
          <t>✅</t>
        </is>
      </c>
      <c r="P5" s="13" t="inlineStr">
        <is>
          <t>✅</t>
        </is>
      </c>
      <c r="Q5" s="13" t="inlineStr">
        <is>
          <t>✅</t>
        </is>
      </c>
      <c r="R5" s="13" t="inlineStr">
        <is>
          <t>✅</t>
        </is>
      </c>
      <c r="S5" s="13" t="inlineStr">
        <is>
          <t>△</t>
        </is>
      </c>
      <c r="T5" s="13" t="inlineStr">
        <is>
          <t>✅</t>
        </is>
      </c>
      <c r="U5" s="13" t="inlineStr">
        <is>
          <t>？</t>
        </is>
      </c>
    </row>
    <row r="6">
      <c r="A6" s="12" t="inlineStr">
        <is>
          <t>DS02</t>
        </is>
      </c>
      <c r="B6" s="12" t="inlineStr">
        <is>
          <t>DS 発見・探索(参加者側の入口)</t>
        </is>
      </c>
      <c r="C6" s="12" t="inlineStr">
        <is>
          <t>地域・地図検索</t>
        </is>
      </c>
      <c r="D6" s="13">
        <f>COUNTIF(G6:U6,"✅")</f>
        <v/>
      </c>
      <c r="E6" s="13">
        <f>COUNTIF(G6:U6,"△")</f>
        <v/>
      </c>
      <c r="F6" s="13" t="inlineStr">
        <is>
          <t>❌</t>
        </is>
      </c>
      <c r="G6" s="13" t="inlineStr">
        <is>
          <t>✅</t>
        </is>
      </c>
      <c r="H6" s="13" t="inlineStr">
        <is>
          <t>✅</t>
        </is>
      </c>
      <c r="I6" s="13" t="inlineStr">
        <is>
          <t>✅</t>
        </is>
      </c>
      <c r="J6" s="13" t="inlineStr">
        <is>
          <t>？</t>
        </is>
      </c>
      <c r="K6" s="13" t="inlineStr">
        <is>
          <t>✅</t>
        </is>
      </c>
      <c r="L6" s="13" t="inlineStr">
        <is>
          <t>△</t>
        </is>
      </c>
      <c r="M6" s="13" t="inlineStr">
        <is>
          <t>✅</t>
        </is>
      </c>
      <c r="N6" s="13" t="inlineStr">
        <is>
          <t>✅</t>
        </is>
      </c>
      <c r="O6" s="13" t="inlineStr">
        <is>
          <t>△</t>
        </is>
      </c>
      <c r="P6" s="13" t="inlineStr">
        <is>
          <t>△</t>
        </is>
      </c>
      <c r="Q6" s="13" t="inlineStr">
        <is>
          <t>△</t>
        </is>
      </c>
      <c r="R6" s="13" t="inlineStr">
        <is>
          <t>△</t>
        </is>
      </c>
      <c r="S6" s="13" t="inlineStr">
        <is>
          <t>✅</t>
        </is>
      </c>
      <c r="T6" s="13" t="inlineStr">
        <is>
          <t>✅</t>
        </is>
      </c>
      <c r="U6" s="13" t="inlineStr">
        <is>
          <t>△</t>
        </is>
      </c>
    </row>
    <row r="7">
      <c r="A7" s="12" t="inlineStr">
        <is>
          <t>DS03</t>
        </is>
      </c>
      <c r="B7" s="12" t="inlineStr">
        <is>
          <t>DS 発見・探索(参加者側の入口)</t>
        </is>
      </c>
      <c r="C7" s="12" t="inlineStr">
        <is>
          <t>日付・価格等の絞り込み</t>
        </is>
      </c>
      <c r="D7" s="13">
        <f>COUNTIF(G7:U7,"✅")</f>
        <v/>
      </c>
      <c r="E7" s="13">
        <f>COUNTIF(G7:U7,"△")</f>
        <v/>
      </c>
      <c r="F7" s="13" t="inlineStr">
        <is>
          <t>❌</t>
        </is>
      </c>
      <c r="G7" s="13" t="inlineStr">
        <is>
          <t>✅</t>
        </is>
      </c>
      <c r="H7" s="13" t="inlineStr">
        <is>
          <t>△</t>
        </is>
      </c>
      <c r="I7" s="13" t="inlineStr">
        <is>
          <t>✅</t>
        </is>
      </c>
      <c r="J7" s="13" t="inlineStr">
        <is>
          <t>？</t>
        </is>
      </c>
      <c r="K7" s="13" t="inlineStr">
        <is>
          <t>△</t>
        </is>
      </c>
      <c r="L7" s="13" t="inlineStr">
        <is>
          <t>？</t>
        </is>
      </c>
      <c r="M7" s="13" t="inlineStr">
        <is>
          <t>△</t>
        </is>
      </c>
      <c r="N7" s="13" t="inlineStr">
        <is>
          <t>✅</t>
        </is>
      </c>
      <c r="O7" s="13" t="inlineStr">
        <is>
          <t>△</t>
        </is>
      </c>
      <c r="P7" s="13" t="inlineStr">
        <is>
          <t>△</t>
        </is>
      </c>
      <c r="Q7" s="13" t="inlineStr">
        <is>
          <t>✅</t>
        </is>
      </c>
      <c r="R7" s="13" t="inlineStr">
        <is>
          <t>✅</t>
        </is>
      </c>
      <c r="S7" s="13" t="inlineStr">
        <is>
          <t>△</t>
        </is>
      </c>
      <c r="T7" s="13" t="inlineStr">
        <is>
          <t>✅</t>
        </is>
      </c>
      <c r="U7" s="13" t="inlineStr">
        <is>
          <t>？</t>
        </is>
      </c>
    </row>
    <row r="8">
      <c r="A8" s="12" t="inlineStr">
        <is>
          <t>DS04</t>
        </is>
      </c>
      <c r="B8" s="12" t="inlineStr">
        <is>
          <t>DS 発見・探索(参加者側の入口)</t>
        </is>
      </c>
      <c r="C8" s="12" t="inlineStr">
        <is>
          <t>パーソナライズ推薦</t>
        </is>
      </c>
      <c r="D8" s="13">
        <f>COUNTIF(G8:U8,"✅")</f>
        <v/>
      </c>
      <c r="E8" s="13">
        <f>COUNTIF(G8:U8,"△")</f>
        <v/>
      </c>
      <c r="F8" s="13" t="inlineStr">
        <is>
          <t>△</t>
        </is>
      </c>
      <c r="G8" s="13" t="inlineStr">
        <is>
          <t>✅</t>
        </is>
      </c>
      <c r="H8" s="13" t="inlineStr">
        <is>
          <t>✅</t>
        </is>
      </c>
      <c r="I8" s="13" t="inlineStr">
        <is>
          <t>✅</t>
        </is>
      </c>
      <c r="J8" s="13" t="inlineStr">
        <is>
          <t>❌</t>
        </is>
      </c>
      <c r="K8" s="13" t="inlineStr">
        <is>
          <t>✅</t>
        </is>
      </c>
      <c r="L8" s="13" t="inlineStr">
        <is>
          <t>△</t>
        </is>
      </c>
      <c r="M8" s="13" t="inlineStr">
        <is>
          <t>△</t>
        </is>
      </c>
      <c r="N8" s="13" t="inlineStr">
        <is>
          <t>△</t>
        </is>
      </c>
      <c r="O8" s="13" t="inlineStr">
        <is>
          <t>△</t>
        </is>
      </c>
      <c r="P8" s="13" t="inlineStr">
        <is>
          <t>△</t>
        </is>
      </c>
      <c r="Q8" s="13" t="inlineStr">
        <is>
          <t>△</t>
        </is>
      </c>
      <c r="R8" s="13" t="inlineStr">
        <is>
          <t>△</t>
        </is>
      </c>
      <c r="S8" s="13" t="inlineStr">
        <is>
          <t>？</t>
        </is>
      </c>
      <c r="T8" s="13" t="inlineStr">
        <is>
          <t>？</t>
        </is>
      </c>
      <c r="U8" s="13" t="inlineStr">
        <is>
          <t>✅</t>
        </is>
      </c>
    </row>
    <row r="9">
      <c r="A9" s="12" t="inlineStr">
        <is>
          <t>DS05</t>
        </is>
      </c>
      <c r="B9" s="12" t="inlineStr">
        <is>
          <t>DS 発見・探索(参加者側の入口)</t>
        </is>
      </c>
      <c r="C9" s="12" t="inlineStr">
        <is>
          <t>フォロー</t>
        </is>
      </c>
      <c r="D9" s="13">
        <f>COUNTIF(G9:U9,"✅")</f>
        <v/>
      </c>
      <c r="E9" s="13">
        <f>COUNTIF(G9:U9,"△")</f>
        <v/>
      </c>
      <c r="F9" s="13" t="inlineStr">
        <is>
          <t>✅</t>
        </is>
      </c>
      <c r="G9" s="13" t="inlineStr">
        <is>
          <t>✅</t>
        </is>
      </c>
      <c r="H9" s="13" t="inlineStr">
        <is>
          <t>✅</t>
        </is>
      </c>
      <c r="I9" s="13" t="inlineStr">
        <is>
          <t>✅</t>
        </is>
      </c>
      <c r="J9" s="13" t="inlineStr">
        <is>
          <t>？</t>
        </is>
      </c>
      <c r="K9" s="13" t="inlineStr">
        <is>
          <t>✅</t>
        </is>
      </c>
      <c r="L9" s="13" t="inlineStr">
        <is>
          <t>？</t>
        </is>
      </c>
      <c r="M9" s="13" t="inlineStr">
        <is>
          <t>✅</t>
        </is>
      </c>
      <c r="N9" s="13" t="inlineStr">
        <is>
          <t>✅</t>
        </is>
      </c>
      <c r="O9" s="13" t="inlineStr">
        <is>
          <t>✅</t>
        </is>
      </c>
      <c r="P9" s="13" t="inlineStr">
        <is>
          <t>✅</t>
        </is>
      </c>
      <c r="Q9" s="13" t="inlineStr">
        <is>
          <t>△</t>
        </is>
      </c>
      <c r="R9" s="13" t="inlineStr">
        <is>
          <t>△</t>
        </is>
      </c>
      <c r="S9" s="13" t="inlineStr">
        <is>
          <t>？</t>
        </is>
      </c>
      <c r="T9" s="13" t="inlineStr">
        <is>
          <t>？</t>
        </is>
      </c>
      <c r="U9" s="13" t="inlineStr">
        <is>
          <t>△</t>
        </is>
      </c>
    </row>
    <row r="10">
      <c r="A10" s="12" t="inlineStr">
        <is>
          <t>DS06</t>
        </is>
      </c>
      <c r="B10" s="12" t="inlineStr">
        <is>
          <t>DS 発見・探索(参加者側の入口)</t>
        </is>
      </c>
      <c r="C10" s="12" t="inlineStr">
        <is>
          <t>ブックマーク・ウィッシュリスト</t>
        </is>
      </c>
      <c r="D10" s="13">
        <f>COUNTIF(G10:U10,"✅")</f>
        <v/>
      </c>
      <c r="E10" s="13">
        <f>COUNTIF(G10:U10,"△")</f>
        <v/>
      </c>
      <c r="F10" s="13" t="inlineStr">
        <is>
          <t>△</t>
        </is>
      </c>
      <c r="G10" s="13" t="inlineStr">
        <is>
          <t>✅</t>
        </is>
      </c>
      <c r="H10" s="13" t="inlineStr">
        <is>
          <t>✅</t>
        </is>
      </c>
      <c r="I10" s="13" t="inlineStr">
        <is>
          <t>✅</t>
        </is>
      </c>
      <c r="J10" s="13" t="inlineStr">
        <is>
          <t>？</t>
        </is>
      </c>
      <c r="K10" s="13" t="inlineStr">
        <is>
          <t>？</t>
        </is>
      </c>
      <c r="L10" s="13" t="inlineStr">
        <is>
          <t>✅</t>
        </is>
      </c>
      <c r="M10" s="13" t="inlineStr">
        <is>
          <t>✅</t>
        </is>
      </c>
      <c r="N10" s="13" t="inlineStr">
        <is>
          <t>✅</t>
        </is>
      </c>
      <c r="O10" s="13" t="inlineStr">
        <is>
          <t>？</t>
        </is>
      </c>
      <c r="P10" s="13" t="inlineStr">
        <is>
          <t>✅</t>
        </is>
      </c>
      <c r="Q10" s="13" t="inlineStr">
        <is>
          <t>✅</t>
        </is>
      </c>
      <c r="R10" s="13" t="inlineStr">
        <is>
          <t>✅</t>
        </is>
      </c>
      <c r="S10" s="13" t="inlineStr">
        <is>
          <t>？</t>
        </is>
      </c>
      <c r="T10" s="13" t="inlineStr">
        <is>
          <t>✅</t>
        </is>
      </c>
      <c r="U10" s="13" t="inlineStr">
        <is>
          <t>✅</t>
        </is>
      </c>
    </row>
    <row r="11">
      <c r="A11" s="12" t="inlineStr">
        <is>
          <t>DS07</t>
        </is>
      </c>
      <c r="B11" s="12" t="inlineStr">
        <is>
          <t>DS 発見・探索(参加者側の入口)</t>
        </is>
      </c>
      <c r="C11" s="12" t="inlineStr">
        <is>
          <t>公開ディレクトリ・都市×カテゴリページ</t>
        </is>
      </c>
      <c r="D11" s="13">
        <f>COUNTIF(G11:U11,"✅")</f>
        <v/>
      </c>
      <c r="E11" s="13">
        <f>COUNTIF(G11:U11,"△")</f>
        <v/>
      </c>
      <c r="F11" s="13" t="inlineStr">
        <is>
          <t>△</t>
        </is>
      </c>
      <c r="G11" s="13" t="inlineStr">
        <is>
          <t>✅</t>
        </is>
      </c>
      <c r="H11" s="13" t="inlineStr">
        <is>
          <t>✅</t>
        </is>
      </c>
      <c r="I11" s="13" t="inlineStr">
        <is>
          <t>✅</t>
        </is>
      </c>
      <c r="J11" s="13" t="inlineStr">
        <is>
          <t>△</t>
        </is>
      </c>
      <c r="K11" s="13" t="inlineStr">
        <is>
          <t>✅</t>
        </is>
      </c>
      <c r="L11" s="13" t="inlineStr">
        <is>
          <t>△</t>
        </is>
      </c>
      <c r="M11" s="13" t="inlineStr">
        <is>
          <t>△</t>
        </is>
      </c>
      <c r="N11" s="13" t="inlineStr">
        <is>
          <t>△</t>
        </is>
      </c>
      <c r="O11" s="13" t="inlineStr">
        <is>
          <t>✅</t>
        </is>
      </c>
      <c r="P11" s="13" t="inlineStr">
        <is>
          <t>△</t>
        </is>
      </c>
      <c r="Q11" s="13" t="inlineStr">
        <is>
          <t>✅</t>
        </is>
      </c>
      <c r="R11" s="13" t="inlineStr">
        <is>
          <t>✅</t>
        </is>
      </c>
      <c r="S11" s="13" t="inlineStr">
        <is>
          <t>✅</t>
        </is>
      </c>
      <c r="T11" s="13" t="inlineStr">
        <is>
          <t>✅</t>
        </is>
      </c>
      <c r="U11" s="13" t="inlineStr">
        <is>
          <t>？</t>
        </is>
      </c>
    </row>
    <row r="12">
      <c r="A12" s="12" t="inlineStr">
        <is>
          <t>DS08</t>
        </is>
      </c>
      <c r="B12" s="12" t="inlineStr">
        <is>
          <t>DS 発見・探索(参加者側の入口)</t>
        </is>
      </c>
      <c r="C12" s="12" t="inlineStr">
        <is>
          <t>キュレーション・特集</t>
        </is>
      </c>
      <c r="D12" s="13">
        <f>COUNTIF(G12:U12,"✅")</f>
        <v/>
      </c>
      <c r="E12" s="13">
        <f>COUNTIF(G12:U12,"△")</f>
        <v/>
      </c>
      <c r="F12" s="13" t="inlineStr">
        <is>
          <t>✅</t>
        </is>
      </c>
      <c r="G12" s="13" t="inlineStr">
        <is>
          <t>✅</t>
        </is>
      </c>
      <c r="H12" s="13" t="inlineStr">
        <is>
          <t>△</t>
        </is>
      </c>
      <c r="I12" s="13" t="inlineStr">
        <is>
          <t>✅</t>
        </is>
      </c>
      <c r="J12" s="13" t="inlineStr">
        <is>
          <t>？</t>
        </is>
      </c>
      <c r="K12" s="13" t="inlineStr">
        <is>
          <t>✅</t>
        </is>
      </c>
      <c r="L12" s="13" t="inlineStr">
        <is>
          <t>✅</t>
        </is>
      </c>
      <c r="M12" s="13" t="inlineStr">
        <is>
          <t>✅</t>
        </is>
      </c>
      <c r="N12" s="13" t="inlineStr">
        <is>
          <t>✅</t>
        </is>
      </c>
      <c r="O12" s="13" t="inlineStr">
        <is>
          <t>△</t>
        </is>
      </c>
      <c r="P12" s="13" t="inlineStr">
        <is>
          <t>✅</t>
        </is>
      </c>
      <c r="Q12" s="13" t="inlineStr">
        <is>
          <t>✅</t>
        </is>
      </c>
      <c r="R12" s="13" t="inlineStr">
        <is>
          <t>✅</t>
        </is>
      </c>
      <c r="S12" s="13" t="inlineStr">
        <is>
          <t>△</t>
        </is>
      </c>
      <c r="T12" s="13" t="inlineStr">
        <is>
          <t>△</t>
        </is>
      </c>
      <c r="U12" s="13" t="inlineStr">
        <is>
          <t>？</t>
        </is>
      </c>
    </row>
    <row r="13">
      <c r="A13" s="12" t="inlineStr">
        <is>
          <t>JN01</t>
        </is>
      </c>
      <c r="B13" s="12" t="inlineStr">
        <is>
          <t>JN 申込・参加体験(参加者側)</t>
        </is>
      </c>
      <c r="C13" s="12" t="inlineStr">
        <is>
          <t>アカウント不要の申込</t>
        </is>
      </c>
      <c r="D13" s="13">
        <f>COUNTIF(G13:U13,"✅")</f>
        <v/>
      </c>
      <c r="E13" s="13">
        <f>COUNTIF(G13:U13,"△")</f>
        <v/>
      </c>
      <c r="F13" s="13" t="inlineStr">
        <is>
          <t>❌</t>
        </is>
      </c>
      <c r="G13" s="13" t="inlineStr">
        <is>
          <t>✅</t>
        </is>
      </c>
      <c r="H13" s="13" t="inlineStr">
        <is>
          <t>❌</t>
        </is>
      </c>
      <c r="I13" s="13" t="inlineStr">
        <is>
          <t>❌</t>
        </is>
      </c>
      <c r="J13" s="13" t="inlineStr">
        <is>
          <t>✅</t>
        </is>
      </c>
      <c r="K13" s="13" t="inlineStr">
        <is>
          <t>✅</t>
        </is>
      </c>
      <c r="L13" s="13" t="inlineStr">
        <is>
          <t>△</t>
        </is>
      </c>
      <c r="M13" s="13" t="inlineStr">
        <is>
          <t>❌</t>
        </is>
      </c>
      <c r="N13" s="13" t="inlineStr">
        <is>
          <t>❌</t>
        </is>
      </c>
      <c r="O13" s="13" t="inlineStr">
        <is>
          <t>✅</t>
        </is>
      </c>
      <c r="P13" s="13" t="inlineStr">
        <is>
          <t>❌</t>
        </is>
      </c>
      <c r="Q13" s="13" t="inlineStr">
        <is>
          <t>❌</t>
        </is>
      </c>
      <c r="R13" s="13" t="inlineStr">
        <is>
          <t>？</t>
        </is>
      </c>
      <c r="S13" s="13" t="inlineStr">
        <is>
          <t>❌</t>
        </is>
      </c>
      <c r="T13" s="13" t="inlineStr">
        <is>
          <t>？</t>
        </is>
      </c>
      <c r="U13" s="13" t="inlineStr">
        <is>
          <t>？</t>
        </is>
      </c>
    </row>
    <row r="14">
      <c r="A14" s="12" t="inlineStr">
        <is>
          <t>JN02</t>
        </is>
      </c>
      <c r="B14" s="12" t="inlineStr">
        <is>
          <t>JN 申込・参加体験(参加者側)</t>
        </is>
      </c>
      <c r="C14" s="12" t="inlineStr">
        <is>
          <t>簡易ログイン</t>
        </is>
      </c>
      <c r="D14" s="13">
        <f>COUNTIF(G14:U14,"✅")</f>
        <v/>
      </c>
      <c r="E14" s="13">
        <f>COUNTIF(G14:U14,"△")</f>
        <v/>
      </c>
      <c r="F14" s="13" t="inlineStr">
        <is>
          <t>✅</t>
        </is>
      </c>
      <c r="G14" s="13" t="inlineStr">
        <is>
          <t>✅</t>
        </is>
      </c>
      <c r="H14" s="13" t="inlineStr">
        <is>
          <t>✅</t>
        </is>
      </c>
      <c r="I14" s="13" t="inlineStr">
        <is>
          <t>✅</t>
        </is>
      </c>
      <c r="J14" s="13" t="inlineStr">
        <is>
          <t>✅</t>
        </is>
      </c>
      <c r="K14" s="13" t="inlineStr">
        <is>
          <t>✅</t>
        </is>
      </c>
      <c r="L14" s="13" t="inlineStr">
        <is>
          <t>✅</t>
        </is>
      </c>
      <c r="M14" s="13" t="inlineStr">
        <is>
          <t>✅</t>
        </is>
      </c>
      <c r="N14" s="13" t="inlineStr">
        <is>
          <t>✅</t>
        </is>
      </c>
      <c r="O14" s="13" t="inlineStr">
        <is>
          <t>✅</t>
        </is>
      </c>
      <c r="P14" s="13" t="inlineStr">
        <is>
          <t>✅</t>
        </is>
      </c>
      <c r="Q14" s="13" t="inlineStr">
        <is>
          <t>✅</t>
        </is>
      </c>
      <c r="R14" s="13" t="inlineStr">
        <is>
          <t>✅</t>
        </is>
      </c>
      <c r="S14" s="13" t="inlineStr">
        <is>
          <t>✅</t>
        </is>
      </c>
      <c r="T14" s="13" t="inlineStr">
        <is>
          <t>？</t>
        </is>
      </c>
      <c r="U14" s="13" t="inlineStr">
        <is>
          <t>△</t>
        </is>
      </c>
    </row>
    <row r="15">
      <c r="A15" s="12" t="inlineStr">
        <is>
          <t>JN03</t>
        </is>
      </c>
      <c r="B15" s="12" t="inlineStr">
        <is>
          <t>JN 申込・参加体験(参加者側)</t>
        </is>
      </c>
      <c r="C15" s="12" t="inlineStr">
        <is>
          <t>承認制・参加申請</t>
        </is>
      </c>
      <c r="D15" s="13">
        <f>COUNTIF(G15:U15,"✅")</f>
        <v/>
      </c>
      <c r="E15" s="13">
        <f>COUNTIF(G15:U15,"△")</f>
        <v/>
      </c>
      <c r="F15" s="13" t="inlineStr">
        <is>
          <t>△</t>
        </is>
      </c>
      <c r="G15" s="13" t="inlineStr">
        <is>
          <t>？</t>
        </is>
      </c>
      <c r="H15" s="13" t="inlineStr">
        <is>
          <t>✅</t>
        </is>
      </c>
      <c r="I15" s="13" t="inlineStr">
        <is>
          <t>？</t>
        </is>
      </c>
      <c r="J15" s="13" t="inlineStr">
        <is>
          <t>？</t>
        </is>
      </c>
      <c r="K15" s="13" t="inlineStr">
        <is>
          <t>✅</t>
        </is>
      </c>
      <c r="L15" s="13" t="inlineStr">
        <is>
          <t>✅</t>
        </is>
      </c>
      <c r="M15" s="13" t="inlineStr">
        <is>
          <t>✅</t>
        </is>
      </c>
      <c r="N15" s="13" t="inlineStr">
        <is>
          <t>❌</t>
        </is>
      </c>
      <c r="O15" s="13" t="inlineStr">
        <is>
          <t>△</t>
        </is>
      </c>
      <c r="P15" s="13" t="inlineStr">
        <is>
          <t>△</t>
        </is>
      </c>
      <c r="Q15" s="13" t="inlineStr">
        <is>
          <t>△</t>
        </is>
      </c>
      <c r="R15" s="13" t="inlineStr">
        <is>
          <t>？</t>
        </is>
      </c>
      <c r="S15" s="13" t="inlineStr">
        <is>
          <t>❌</t>
        </is>
      </c>
      <c r="T15" s="13" t="inlineStr">
        <is>
          <t>✅</t>
        </is>
      </c>
      <c r="U15" s="13" t="inlineStr">
        <is>
          <t>？</t>
        </is>
      </c>
    </row>
    <row r="16">
      <c r="A16" s="12" t="inlineStr">
        <is>
          <t>JN04</t>
        </is>
      </c>
      <c r="B16" s="12" t="inlineStr">
        <is>
          <t>JN 申込・参加体験(参加者側)</t>
        </is>
      </c>
      <c r="C16" s="12" t="inlineStr">
        <is>
          <t>ウェイトリスト</t>
        </is>
      </c>
      <c r="D16" s="13">
        <f>COUNTIF(G16:U16,"✅")</f>
        <v/>
      </c>
      <c r="E16" s="13">
        <f>COUNTIF(G16:U16,"△")</f>
        <v/>
      </c>
      <c r="F16" s="13" t="inlineStr">
        <is>
          <t>❌</t>
        </is>
      </c>
      <c r="G16" s="13" t="inlineStr">
        <is>
          <t>✅</t>
        </is>
      </c>
      <c r="H16" s="13" t="inlineStr">
        <is>
          <t>△</t>
        </is>
      </c>
      <c r="I16" s="13" t="inlineStr">
        <is>
          <t>✅</t>
        </is>
      </c>
      <c r="J16" s="13" t="inlineStr">
        <is>
          <t>✅</t>
        </is>
      </c>
      <c r="K16" s="13" t="inlineStr">
        <is>
          <t>✅</t>
        </is>
      </c>
      <c r="L16" s="13" t="inlineStr">
        <is>
          <t>✅</t>
        </is>
      </c>
      <c r="M16" s="13" t="inlineStr">
        <is>
          <t>△</t>
        </is>
      </c>
      <c r="N16" s="13" t="inlineStr">
        <is>
          <t>？</t>
        </is>
      </c>
      <c r="O16" s="13" t="inlineStr">
        <is>
          <t>✅</t>
        </is>
      </c>
      <c r="P16" s="13" t="inlineStr">
        <is>
          <t>✅</t>
        </is>
      </c>
      <c r="Q16" s="13" t="inlineStr">
        <is>
          <t>✅</t>
        </is>
      </c>
      <c r="R16" s="13" t="inlineStr">
        <is>
          <t>✅</t>
        </is>
      </c>
      <c r="S16" s="13" t="inlineStr">
        <is>
          <t>△</t>
        </is>
      </c>
      <c r="T16" s="13" t="inlineStr">
        <is>
          <t>？</t>
        </is>
      </c>
      <c r="U16" s="13" t="inlineStr">
        <is>
          <t>？</t>
        </is>
      </c>
    </row>
    <row r="17">
      <c r="A17" s="12" t="inlineStr">
        <is>
          <t>JN05</t>
        </is>
      </c>
      <c r="B17" s="12" t="inlineStr">
        <is>
          <t>JN 申込・参加体験(参加者側)</t>
        </is>
      </c>
      <c r="C17" s="12" t="inlineStr">
        <is>
          <t>定員・残席の表示</t>
        </is>
      </c>
      <c r="D17" s="13">
        <f>COUNTIF(G17:U17,"✅")</f>
        <v/>
      </c>
      <c r="E17" s="13">
        <f>COUNTIF(G17:U17,"△")</f>
        <v/>
      </c>
      <c r="F17" s="13" t="inlineStr">
        <is>
          <t>✅</t>
        </is>
      </c>
      <c r="G17" s="13" t="inlineStr">
        <is>
          <t>✅</t>
        </is>
      </c>
      <c r="H17" s="13" t="inlineStr">
        <is>
          <t>✅</t>
        </is>
      </c>
      <c r="I17" s="13" t="inlineStr">
        <is>
          <t>✅</t>
        </is>
      </c>
      <c r="J17" s="13" t="inlineStr">
        <is>
          <t>？</t>
        </is>
      </c>
      <c r="K17" s="13" t="inlineStr">
        <is>
          <t>？</t>
        </is>
      </c>
      <c r="L17" s="13" t="inlineStr">
        <is>
          <t>？</t>
        </is>
      </c>
      <c r="M17" s="13" t="inlineStr">
        <is>
          <t>？</t>
        </is>
      </c>
      <c r="N17" s="13" t="inlineStr">
        <is>
          <t>？</t>
        </is>
      </c>
      <c r="O17" s="13" t="inlineStr">
        <is>
          <t>✅</t>
        </is>
      </c>
      <c r="P17" s="13" t="inlineStr">
        <is>
          <t>✅</t>
        </is>
      </c>
      <c r="Q17" s="13" t="inlineStr">
        <is>
          <t>✅</t>
        </is>
      </c>
      <c r="R17" s="13" t="inlineStr">
        <is>
          <t>✅</t>
        </is>
      </c>
      <c r="S17" s="13" t="inlineStr">
        <is>
          <t>？</t>
        </is>
      </c>
      <c r="T17" s="13" t="inlineStr">
        <is>
          <t>△</t>
        </is>
      </c>
      <c r="U17" s="13" t="inlineStr">
        <is>
          <t>？</t>
        </is>
      </c>
    </row>
    <row r="18">
      <c r="A18" s="12" t="inlineStr">
        <is>
          <t>JN06</t>
        </is>
      </c>
      <c r="B18" s="12" t="inlineStr">
        <is>
          <t>JN 申込・参加体験(参加者側)</t>
        </is>
      </c>
      <c r="C18" s="12" t="inlineStr">
        <is>
          <t>追加質問・同行者の入力</t>
        </is>
      </c>
      <c r="D18" s="13">
        <f>COUNTIF(G18:U18,"✅")</f>
        <v/>
      </c>
      <c r="E18" s="13">
        <f>COUNTIF(G18:U18,"△")</f>
        <v/>
      </c>
      <c r="F18" s="13" t="inlineStr">
        <is>
          <t>✅</t>
        </is>
      </c>
      <c r="G18" s="13" t="inlineStr">
        <is>
          <t>✅</t>
        </is>
      </c>
      <c r="H18" s="13" t="inlineStr">
        <is>
          <t>✅</t>
        </is>
      </c>
      <c r="I18" s="13" t="inlineStr">
        <is>
          <t>？</t>
        </is>
      </c>
      <c r="J18" s="13" t="inlineStr">
        <is>
          <t>✅</t>
        </is>
      </c>
      <c r="K18" s="13" t="inlineStr">
        <is>
          <t>△</t>
        </is>
      </c>
      <c r="L18" s="13" t="inlineStr">
        <is>
          <t>✅</t>
        </is>
      </c>
      <c r="M18" s="13" t="inlineStr">
        <is>
          <t>✅</t>
        </is>
      </c>
      <c r="N18" s="13" t="inlineStr">
        <is>
          <t>✅</t>
        </is>
      </c>
      <c r="O18" s="13" t="inlineStr">
        <is>
          <t>✅</t>
        </is>
      </c>
      <c r="P18" s="13" t="inlineStr">
        <is>
          <t>△</t>
        </is>
      </c>
      <c r="Q18" s="13" t="inlineStr">
        <is>
          <t>✅</t>
        </is>
      </c>
      <c r="R18" s="13" t="inlineStr">
        <is>
          <t>✅</t>
        </is>
      </c>
      <c r="S18" s="13" t="inlineStr">
        <is>
          <t>✅</t>
        </is>
      </c>
      <c r="T18" s="13" t="inlineStr">
        <is>
          <t>△</t>
        </is>
      </c>
      <c r="U18" s="13" t="inlineStr">
        <is>
          <t>？</t>
        </is>
      </c>
    </row>
    <row r="19">
      <c r="A19" s="12" t="inlineStr">
        <is>
          <t>JN07</t>
        </is>
      </c>
      <c r="B19" s="12" t="inlineStr">
        <is>
          <t>JN 申込・参加体験(参加者側)</t>
        </is>
      </c>
      <c r="C19" s="12" t="inlineStr">
        <is>
          <t>参加者のセルフキャンセル</t>
        </is>
      </c>
      <c r="D19" s="13">
        <f>COUNTIF(G19:U19,"✅")</f>
        <v/>
      </c>
      <c r="E19" s="13">
        <f>COUNTIF(G19:U19,"△")</f>
        <v/>
      </c>
      <c r="F19" s="13" t="inlineStr">
        <is>
          <t>✅</t>
        </is>
      </c>
      <c r="G19" s="13" t="inlineStr">
        <is>
          <t>△</t>
        </is>
      </c>
      <c r="H19" s="13" t="inlineStr">
        <is>
          <t>✅</t>
        </is>
      </c>
      <c r="I19" s="13" t="inlineStr">
        <is>
          <t>△</t>
        </is>
      </c>
      <c r="J19" s="13" t="inlineStr">
        <is>
          <t>✅</t>
        </is>
      </c>
      <c r="K19" s="13" t="inlineStr">
        <is>
          <t>△</t>
        </is>
      </c>
      <c r="L19" s="13" t="inlineStr">
        <is>
          <t>△</t>
        </is>
      </c>
      <c r="M19" s="13" t="inlineStr">
        <is>
          <t>△</t>
        </is>
      </c>
      <c r="N19" s="13" t="inlineStr">
        <is>
          <t>△</t>
        </is>
      </c>
      <c r="O19" s="13" t="inlineStr">
        <is>
          <t>△</t>
        </is>
      </c>
      <c r="P19" s="13" t="inlineStr">
        <is>
          <t>✅</t>
        </is>
      </c>
      <c r="Q19" s="13" t="inlineStr">
        <is>
          <t>✅</t>
        </is>
      </c>
      <c r="R19" s="13" t="inlineStr">
        <is>
          <t>✅</t>
        </is>
      </c>
      <c r="S19" s="13" t="inlineStr">
        <is>
          <t>✅</t>
        </is>
      </c>
      <c r="T19" s="13" t="inlineStr">
        <is>
          <t>✅</t>
        </is>
      </c>
      <c r="U19" s="13" t="inlineStr">
        <is>
          <t>？</t>
        </is>
      </c>
    </row>
    <row r="20">
      <c r="A20" s="12" t="inlineStr">
        <is>
          <t>JN08</t>
        </is>
      </c>
      <c r="B20" s="12" t="inlineStr">
        <is>
          <t>JN 申込・参加体験(参加者側)</t>
        </is>
      </c>
      <c r="C20" s="12" t="inlineStr">
        <is>
          <t>カレンダー追加</t>
        </is>
      </c>
      <c r="D20" s="13">
        <f>COUNTIF(G20:U20,"✅")</f>
        <v/>
      </c>
      <c r="E20" s="13">
        <f>COUNTIF(G20:U20,"△")</f>
        <v/>
      </c>
      <c r="F20" s="13" t="inlineStr">
        <is>
          <t>✅</t>
        </is>
      </c>
      <c r="G20" s="13" t="inlineStr">
        <is>
          <t>？</t>
        </is>
      </c>
      <c r="H20" s="13" t="inlineStr">
        <is>
          <t>✅</t>
        </is>
      </c>
      <c r="I20" s="13" t="inlineStr">
        <is>
          <t>？</t>
        </is>
      </c>
      <c r="J20" s="13" t="inlineStr">
        <is>
          <t>✅</t>
        </is>
      </c>
      <c r="K20" s="13" t="inlineStr">
        <is>
          <t>✅</t>
        </is>
      </c>
      <c r="L20" s="13" t="inlineStr">
        <is>
          <t>✅</t>
        </is>
      </c>
      <c r="M20" s="13" t="inlineStr">
        <is>
          <t>✅</t>
        </is>
      </c>
      <c r="N20" s="13" t="inlineStr">
        <is>
          <t>✅</t>
        </is>
      </c>
      <c r="O20" s="13" t="inlineStr">
        <is>
          <t>✅</t>
        </is>
      </c>
      <c r="P20" s="13" t="inlineStr">
        <is>
          <t>✅</t>
        </is>
      </c>
      <c r="Q20" s="13" t="inlineStr">
        <is>
          <t>✅</t>
        </is>
      </c>
      <c r="R20" s="13" t="inlineStr">
        <is>
          <t>？</t>
        </is>
      </c>
      <c r="S20" s="13" t="inlineStr">
        <is>
          <t>？</t>
        </is>
      </c>
      <c r="T20" s="13" t="inlineStr">
        <is>
          <t>？</t>
        </is>
      </c>
      <c r="U20" s="13" t="inlineStr">
        <is>
          <t>✅</t>
        </is>
      </c>
    </row>
    <row r="21">
      <c r="A21" s="12" t="inlineStr">
        <is>
          <t>JN09</t>
        </is>
      </c>
      <c r="B21" s="12" t="inlineStr">
        <is>
          <t>JN 申込・参加体験(参加者側)</t>
        </is>
      </c>
      <c r="C21" s="12" t="inlineStr">
        <is>
          <t>開催前リマインド</t>
        </is>
      </c>
      <c r="D21" s="13">
        <f>COUNTIF(G21:U21,"✅")</f>
        <v/>
      </c>
      <c r="E21" s="13">
        <f>COUNTIF(G21:U21,"△")</f>
        <v/>
      </c>
      <c r="F21" s="13" t="inlineStr">
        <is>
          <t>✅</t>
        </is>
      </c>
      <c r="G21" s="13" t="inlineStr">
        <is>
          <t>✅</t>
        </is>
      </c>
      <c r="H21" s="13" t="inlineStr">
        <is>
          <t>✅</t>
        </is>
      </c>
      <c r="I21" s="13" t="inlineStr">
        <is>
          <t>✅</t>
        </is>
      </c>
      <c r="J21" s="13" t="inlineStr">
        <is>
          <t>✅</t>
        </is>
      </c>
      <c r="K21" s="13" t="inlineStr">
        <is>
          <t>✅</t>
        </is>
      </c>
      <c r="L21" s="13" t="inlineStr">
        <is>
          <t>✅</t>
        </is>
      </c>
      <c r="M21" s="13" t="inlineStr">
        <is>
          <t>△</t>
        </is>
      </c>
      <c r="N21" s="13" t="inlineStr">
        <is>
          <t>✅</t>
        </is>
      </c>
      <c r="O21" s="13" t="inlineStr">
        <is>
          <t>✅</t>
        </is>
      </c>
      <c r="P21" s="13" t="inlineStr">
        <is>
          <t>✅</t>
        </is>
      </c>
      <c r="Q21" s="13" t="inlineStr">
        <is>
          <t>△</t>
        </is>
      </c>
      <c r="R21" s="13" t="inlineStr">
        <is>
          <t>✅</t>
        </is>
      </c>
      <c r="S21" s="13" t="inlineStr">
        <is>
          <t>✅</t>
        </is>
      </c>
      <c r="T21" s="13" t="inlineStr">
        <is>
          <t>？</t>
        </is>
      </c>
      <c r="U21" s="13" t="inlineStr">
        <is>
          <t>？</t>
        </is>
      </c>
    </row>
    <row r="22">
      <c r="A22" s="12" t="inlineStr">
        <is>
          <t>JN10</t>
        </is>
      </c>
      <c r="B22" s="12" t="inlineStr">
        <is>
          <t>JN 申込・参加体験(参加者側)</t>
        </is>
      </c>
      <c r="C22" s="12" t="inlineStr">
        <is>
          <t>QRチケット・当日受付</t>
        </is>
      </c>
      <c r="D22" s="13">
        <f>COUNTIF(G22:U22,"✅")</f>
        <v/>
      </c>
      <c r="E22" s="13">
        <f>COUNTIF(G22:U22,"△")</f>
        <v/>
      </c>
      <c r="F22" s="13" t="inlineStr">
        <is>
          <t>❌</t>
        </is>
      </c>
      <c r="G22" s="13" t="inlineStr">
        <is>
          <t>✅</t>
        </is>
      </c>
      <c r="H22" s="13" t="inlineStr">
        <is>
          <t>△</t>
        </is>
      </c>
      <c r="I22" s="13" t="inlineStr">
        <is>
          <t>✅</t>
        </is>
      </c>
      <c r="J22" s="13" t="inlineStr">
        <is>
          <t>✅</t>
        </is>
      </c>
      <c r="K22" s="13" t="inlineStr">
        <is>
          <t>✅</t>
        </is>
      </c>
      <c r="L22" s="13" t="inlineStr">
        <is>
          <t>△</t>
        </is>
      </c>
      <c r="M22" s="13" t="inlineStr">
        <is>
          <t>✅</t>
        </is>
      </c>
      <c r="N22" s="13" t="inlineStr">
        <is>
          <t>✅</t>
        </is>
      </c>
      <c r="O22" s="13" t="inlineStr">
        <is>
          <t>✅</t>
        </is>
      </c>
      <c r="P22" s="13" t="inlineStr">
        <is>
          <t>✅</t>
        </is>
      </c>
      <c r="Q22" s="13" t="inlineStr">
        <is>
          <t>△</t>
        </is>
      </c>
      <c r="R22" s="13" t="inlineStr">
        <is>
          <t>？</t>
        </is>
      </c>
      <c r="S22" s="13" t="inlineStr">
        <is>
          <t>？</t>
        </is>
      </c>
      <c r="T22" s="13" t="inlineStr">
        <is>
          <t>？</t>
        </is>
      </c>
      <c r="U22" s="13" t="inlineStr">
        <is>
          <t>△</t>
        </is>
      </c>
    </row>
    <row r="23">
      <c r="A23" s="12" t="inlineStr">
        <is>
          <t>JN11</t>
        </is>
      </c>
      <c r="B23" s="12" t="inlineStr">
        <is>
          <t>JN 申込・参加体験(参加者側)</t>
        </is>
      </c>
      <c r="C23" s="12" t="inlineStr">
        <is>
          <t>参加者一覧の閲覧</t>
        </is>
      </c>
      <c r="D23" s="13">
        <f>COUNTIF(G23:U23,"✅")</f>
        <v/>
      </c>
      <c r="E23" s="13">
        <f>COUNTIF(G23:U23,"△")</f>
        <v/>
      </c>
      <c r="F23" s="13" t="inlineStr">
        <is>
          <t>✅</t>
        </is>
      </c>
      <c r="G23" s="13" t="inlineStr">
        <is>
          <t>△</t>
        </is>
      </c>
      <c r="H23" s="13" t="inlineStr">
        <is>
          <t>△</t>
        </is>
      </c>
      <c r="I23" s="13" t="inlineStr">
        <is>
          <t>△</t>
        </is>
      </c>
      <c r="J23" s="13" t="inlineStr">
        <is>
          <t>？</t>
        </is>
      </c>
      <c r="K23" s="13" t="inlineStr">
        <is>
          <t>✅</t>
        </is>
      </c>
      <c r="L23" s="13" t="inlineStr">
        <is>
          <t>✅</t>
        </is>
      </c>
      <c r="M23" s="13" t="inlineStr">
        <is>
          <t>✅</t>
        </is>
      </c>
      <c r="N23" s="13" t="inlineStr">
        <is>
          <t>✅</t>
        </is>
      </c>
      <c r="O23" s="13" t="inlineStr">
        <is>
          <t>✅</t>
        </is>
      </c>
      <c r="P23" s="13" t="inlineStr">
        <is>
          <t>✅</t>
        </is>
      </c>
      <c r="Q23" s="13" t="inlineStr">
        <is>
          <t>？</t>
        </is>
      </c>
      <c r="R23" s="13" t="inlineStr">
        <is>
          <t>？</t>
        </is>
      </c>
      <c r="S23" s="13" t="inlineStr">
        <is>
          <t>△</t>
        </is>
      </c>
      <c r="T23" s="13" t="inlineStr">
        <is>
          <t>△</t>
        </is>
      </c>
      <c r="U23" s="13" t="inlineStr">
        <is>
          <t>△</t>
        </is>
      </c>
    </row>
    <row r="24">
      <c r="A24" s="12" t="inlineStr">
        <is>
          <t>JN12</t>
        </is>
      </c>
      <c r="B24" s="12" t="inlineStr">
        <is>
          <t>JN 申込・参加体験(参加者側)</t>
        </is>
      </c>
      <c r="C24" s="12" t="inlineStr">
        <is>
          <t>イベント後の体験</t>
        </is>
      </c>
      <c r="D24" s="13">
        <f>COUNTIF(G24:U24,"✅")</f>
        <v/>
      </c>
      <c r="E24" s="13">
        <f>COUNTIF(G24:U24,"△")</f>
        <v/>
      </c>
      <c r="F24" s="13" t="inlineStr">
        <is>
          <t>✅</t>
        </is>
      </c>
      <c r="G24" s="13" t="inlineStr">
        <is>
          <t>△</t>
        </is>
      </c>
      <c r="H24" s="13" t="inlineStr">
        <is>
          <t>✅</t>
        </is>
      </c>
      <c r="I24" s="13" t="inlineStr">
        <is>
          <t>？</t>
        </is>
      </c>
      <c r="J24" s="13" t="inlineStr">
        <is>
          <t>△</t>
        </is>
      </c>
      <c r="K24" s="13" t="inlineStr">
        <is>
          <t>✅</t>
        </is>
      </c>
      <c r="L24" s="13" t="inlineStr">
        <is>
          <t>✅</t>
        </is>
      </c>
      <c r="M24" s="13" t="inlineStr">
        <is>
          <t>△</t>
        </is>
      </c>
      <c r="N24" s="13" t="inlineStr">
        <is>
          <t>△</t>
        </is>
      </c>
      <c r="O24" s="13" t="inlineStr">
        <is>
          <t>✅</t>
        </is>
      </c>
      <c r="P24" s="13" t="inlineStr">
        <is>
          <t>✅</t>
        </is>
      </c>
      <c r="Q24" s="13" t="inlineStr">
        <is>
          <t>✅</t>
        </is>
      </c>
      <c r="R24" s="13" t="inlineStr">
        <is>
          <t>✅</t>
        </is>
      </c>
      <c r="S24" s="13" t="inlineStr">
        <is>
          <t>✅</t>
        </is>
      </c>
      <c r="T24" s="13" t="inlineStr">
        <is>
          <t>✅</t>
        </is>
      </c>
      <c r="U24" s="13" t="inlineStr">
        <is>
          <t>？</t>
        </is>
      </c>
    </row>
    <row r="25">
      <c r="A25" s="12" t="inlineStr">
        <is>
          <t>SH01</t>
        </is>
      </c>
      <c r="B25" s="12" t="inlineStr">
        <is>
          <t>SH 共有・招待・バイラル</t>
        </is>
      </c>
      <c r="C25" s="12" t="inlineStr">
        <is>
          <t>共有用URL・OGPカード</t>
        </is>
      </c>
      <c r="D25" s="13">
        <f>COUNTIF(G25:U25,"✅")</f>
        <v/>
      </c>
      <c r="E25" s="13">
        <f>COUNTIF(G25:U25,"△")</f>
        <v/>
      </c>
      <c r="F25" s="13" t="inlineStr">
        <is>
          <t>✅</t>
        </is>
      </c>
      <c r="G25" s="13" t="inlineStr">
        <is>
          <t>✅</t>
        </is>
      </c>
      <c r="H25" s="13" t="inlineStr">
        <is>
          <t>✅</t>
        </is>
      </c>
      <c r="I25" s="13" t="inlineStr">
        <is>
          <t>✅</t>
        </is>
      </c>
      <c r="J25" s="13" t="inlineStr">
        <is>
          <t>✅</t>
        </is>
      </c>
      <c r="K25" s="13" t="inlineStr">
        <is>
          <t>✅</t>
        </is>
      </c>
      <c r="L25" s="13" t="inlineStr">
        <is>
          <t>△</t>
        </is>
      </c>
      <c r="M25" s="13" t="inlineStr">
        <is>
          <t>△</t>
        </is>
      </c>
      <c r="N25" s="13" t="inlineStr">
        <is>
          <t>✅</t>
        </is>
      </c>
      <c r="O25" s="13" t="inlineStr">
        <is>
          <t>✅</t>
        </is>
      </c>
      <c r="P25" s="13" t="inlineStr">
        <is>
          <t>✅</t>
        </is>
      </c>
      <c r="Q25" s="13" t="inlineStr">
        <is>
          <t>？</t>
        </is>
      </c>
      <c r="R25" s="13" t="inlineStr">
        <is>
          <t>？</t>
        </is>
      </c>
      <c r="S25" s="13" t="inlineStr">
        <is>
          <t>？</t>
        </is>
      </c>
      <c r="T25" s="13" t="inlineStr">
        <is>
          <t>？</t>
        </is>
      </c>
      <c r="U25" s="13" t="inlineStr">
        <is>
          <t>？</t>
        </is>
      </c>
    </row>
    <row r="26">
      <c r="A26" s="12" t="inlineStr">
        <is>
          <t>SH02</t>
        </is>
      </c>
      <c r="B26" s="12" t="inlineStr">
        <is>
          <t>SH 共有・招待・バイラル</t>
        </is>
      </c>
      <c r="C26" s="12" t="inlineStr">
        <is>
          <t>SNS・メッセージ共有ボタン</t>
        </is>
      </c>
      <c r="D26" s="13">
        <f>COUNTIF(G26:U26,"✅")</f>
        <v/>
      </c>
      <c r="E26" s="13">
        <f>COUNTIF(G26:U26,"△")</f>
        <v/>
      </c>
      <c r="F26" s="13" t="inlineStr">
        <is>
          <t>✅</t>
        </is>
      </c>
      <c r="G26" s="13" t="inlineStr">
        <is>
          <t>✅</t>
        </is>
      </c>
      <c r="H26" s="13" t="inlineStr">
        <is>
          <t>✅</t>
        </is>
      </c>
      <c r="I26" s="13" t="inlineStr">
        <is>
          <t>✅</t>
        </is>
      </c>
      <c r="J26" s="13" t="inlineStr">
        <is>
          <t>✅</t>
        </is>
      </c>
      <c r="K26" s="13" t="inlineStr">
        <is>
          <t>△</t>
        </is>
      </c>
      <c r="L26" s="13" t="inlineStr">
        <is>
          <t>✅</t>
        </is>
      </c>
      <c r="M26" s="13" t="inlineStr">
        <is>
          <t>△</t>
        </is>
      </c>
      <c r="N26" s="13" t="inlineStr">
        <is>
          <t>✅</t>
        </is>
      </c>
      <c r="O26" s="13" t="inlineStr">
        <is>
          <t>✅</t>
        </is>
      </c>
      <c r="P26" s="13" t="inlineStr">
        <is>
          <t>△</t>
        </is>
      </c>
      <c r="Q26" s="13" t="inlineStr">
        <is>
          <t>？</t>
        </is>
      </c>
      <c r="R26" s="13" t="inlineStr">
        <is>
          <t>△</t>
        </is>
      </c>
      <c r="S26" s="13" t="inlineStr">
        <is>
          <t>△</t>
        </is>
      </c>
      <c r="T26" s="13" t="inlineStr">
        <is>
          <t>？</t>
        </is>
      </c>
      <c r="U26" s="13" t="inlineStr">
        <is>
          <t>✅</t>
        </is>
      </c>
    </row>
    <row r="27">
      <c r="A27" s="12" t="inlineStr">
        <is>
          <t>SH03</t>
        </is>
      </c>
      <c r="B27" s="12" t="inlineStr">
        <is>
          <t>SH 共有・招待・バイラル</t>
        </is>
      </c>
      <c r="C27" s="12" t="inlineStr">
        <is>
          <t>友人・同行者の招待導線</t>
        </is>
      </c>
      <c r="D27" s="13">
        <f>COUNTIF(G27:U27,"✅")</f>
        <v/>
      </c>
      <c r="E27" s="13">
        <f>COUNTIF(G27:U27,"△")</f>
        <v/>
      </c>
      <c r="F27" s="13" t="inlineStr">
        <is>
          <t>△</t>
        </is>
      </c>
      <c r="G27" s="13" t="inlineStr">
        <is>
          <t>？</t>
        </is>
      </c>
      <c r="H27" s="13" t="inlineStr">
        <is>
          <t>△</t>
        </is>
      </c>
      <c r="I27" s="13" t="inlineStr">
        <is>
          <t>✅</t>
        </is>
      </c>
      <c r="J27" s="13" t="inlineStr">
        <is>
          <t>？</t>
        </is>
      </c>
      <c r="K27" s="13" t="inlineStr">
        <is>
          <t>✅</t>
        </is>
      </c>
      <c r="L27" s="13" t="inlineStr">
        <is>
          <t>✅</t>
        </is>
      </c>
      <c r="M27" s="13" t="inlineStr">
        <is>
          <t>✅</t>
        </is>
      </c>
      <c r="N27" s="13" t="inlineStr">
        <is>
          <t>△</t>
        </is>
      </c>
      <c r="O27" s="13" t="inlineStr">
        <is>
          <t>△</t>
        </is>
      </c>
      <c r="P27" s="13" t="inlineStr">
        <is>
          <t>△</t>
        </is>
      </c>
      <c r="Q27" s="13" t="inlineStr">
        <is>
          <t>？</t>
        </is>
      </c>
      <c r="R27" s="13" t="inlineStr">
        <is>
          <t>✅</t>
        </is>
      </c>
      <c r="S27" s="13" t="inlineStr">
        <is>
          <t>✅</t>
        </is>
      </c>
      <c r="T27" s="13" t="inlineStr">
        <is>
          <t>✅</t>
        </is>
      </c>
      <c r="U27" s="13" t="inlineStr">
        <is>
          <t>✅</t>
        </is>
      </c>
    </row>
    <row r="28">
      <c r="A28" s="12" t="inlineStr">
        <is>
          <t>SH04</t>
        </is>
      </c>
      <c r="B28" s="12" t="inlineStr">
        <is>
          <t>SH 共有・招待・バイラル</t>
        </is>
      </c>
      <c r="C28" s="12" t="inlineStr">
        <is>
          <t>紹介リンク・紹介の可視化</t>
        </is>
      </c>
      <c r="D28" s="13">
        <f>COUNTIF(G28:U28,"✅")</f>
        <v/>
      </c>
      <c r="E28" s="13">
        <f>COUNTIF(G28:U28,"△")</f>
        <v/>
      </c>
      <c r="F28" s="13" t="inlineStr">
        <is>
          <t>❌</t>
        </is>
      </c>
      <c r="G28" s="13" t="inlineStr">
        <is>
          <t>△</t>
        </is>
      </c>
      <c r="H28" s="13" t="inlineStr">
        <is>
          <t>？</t>
        </is>
      </c>
      <c r="I28" s="13" t="inlineStr">
        <is>
          <t>△</t>
        </is>
      </c>
      <c r="J28" s="13" t="inlineStr">
        <is>
          <t>△</t>
        </is>
      </c>
      <c r="K28" s="13" t="inlineStr">
        <is>
          <t>✅</t>
        </is>
      </c>
      <c r="L28" s="13" t="inlineStr">
        <is>
          <t>？</t>
        </is>
      </c>
      <c r="M28" s="13" t="inlineStr">
        <is>
          <t>✅</t>
        </is>
      </c>
      <c r="N28" s="13" t="inlineStr">
        <is>
          <t>？</t>
        </is>
      </c>
      <c r="O28" s="13" t="inlineStr">
        <is>
          <t>△</t>
        </is>
      </c>
      <c r="P28" s="13" t="inlineStr">
        <is>
          <t>？</t>
        </is>
      </c>
      <c r="Q28" s="13" t="inlineStr">
        <is>
          <t>？</t>
        </is>
      </c>
      <c r="R28" s="13" t="inlineStr">
        <is>
          <t>✅</t>
        </is>
      </c>
      <c r="S28" s="13" t="inlineStr">
        <is>
          <t>△</t>
        </is>
      </c>
      <c r="T28" s="13" t="inlineStr">
        <is>
          <t>✅</t>
        </is>
      </c>
      <c r="U28" s="13" t="inlineStr">
        <is>
          <t>△</t>
        </is>
      </c>
    </row>
    <row r="29">
      <c r="A29" s="12" t="inlineStr">
        <is>
          <t>SH05</t>
        </is>
      </c>
      <c r="B29" s="12" t="inlineStr">
        <is>
          <t>SH 共有・招待・バイラル</t>
        </is>
      </c>
      <c r="C29" s="12" t="inlineStr">
        <is>
          <t>連絡先・SNS連携で友人発見</t>
        </is>
      </c>
      <c r="D29" s="13">
        <f>COUNTIF(G29:U29,"✅")</f>
        <v/>
      </c>
      <c r="E29" s="13">
        <f>COUNTIF(G29:U29,"△")</f>
        <v/>
      </c>
      <c r="F29" s="13" t="inlineStr">
        <is>
          <t>△</t>
        </is>
      </c>
      <c r="G29" s="13" t="inlineStr">
        <is>
          <t>✅</t>
        </is>
      </c>
      <c r="H29" s="13" t="inlineStr">
        <is>
          <t>？</t>
        </is>
      </c>
      <c r="I29" s="13" t="inlineStr">
        <is>
          <t>✅</t>
        </is>
      </c>
      <c r="J29" s="13" t="inlineStr">
        <is>
          <t>？</t>
        </is>
      </c>
      <c r="K29" s="13" t="inlineStr">
        <is>
          <t>✅</t>
        </is>
      </c>
      <c r="L29" s="13" t="inlineStr">
        <is>
          <t>✅</t>
        </is>
      </c>
      <c r="M29" s="13" t="inlineStr">
        <is>
          <t>△</t>
        </is>
      </c>
      <c r="N29" s="13" t="inlineStr">
        <is>
          <t>？</t>
        </is>
      </c>
      <c r="O29" s="13" t="inlineStr">
        <is>
          <t>？</t>
        </is>
      </c>
      <c r="P29" s="13" t="inlineStr">
        <is>
          <t>✅</t>
        </is>
      </c>
      <c r="Q29" s="13" t="inlineStr">
        <is>
          <t>？</t>
        </is>
      </c>
      <c r="R29" s="13" t="inlineStr">
        <is>
          <t>？</t>
        </is>
      </c>
      <c r="S29" s="13" t="inlineStr">
        <is>
          <t>❌</t>
        </is>
      </c>
      <c r="T29" s="13" t="inlineStr">
        <is>
          <t>？</t>
        </is>
      </c>
      <c r="U29" s="13" t="inlineStr">
        <is>
          <t>？</t>
        </is>
      </c>
    </row>
    <row r="30">
      <c r="A30" s="12" t="inlineStr">
        <is>
          <t>SH06</t>
        </is>
      </c>
      <c r="B30" s="12" t="inlineStr">
        <is>
          <t>SH 共有・招待・バイラル</t>
        </is>
      </c>
      <c r="C30" s="12" t="inlineStr">
        <is>
          <t>社会的証明の表示</t>
        </is>
      </c>
      <c r="D30" s="13">
        <f>COUNTIF(G30:U30,"✅")</f>
        <v/>
      </c>
      <c r="E30" s="13">
        <f>COUNTIF(G30:U30,"△")</f>
        <v/>
      </c>
      <c r="F30" s="13" t="inlineStr">
        <is>
          <t>✅</t>
        </is>
      </c>
      <c r="G30" s="13" t="inlineStr">
        <is>
          <t>△</t>
        </is>
      </c>
      <c r="H30" s="13" t="inlineStr">
        <is>
          <t>✅</t>
        </is>
      </c>
      <c r="I30" s="13" t="inlineStr">
        <is>
          <t>✅</t>
        </is>
      </c>
      <c r="J30" s="13" t="inlineStr">
        <is>
          <t>？</t>
        </is>
      </c>
      <c r="K30" s="13" t="inlineStr">
        <is>
          <t>✅</t>
        </is>
      </c>
      <c r="L30" s="13" t="inlineStr">
        <is>
          <t>✅</t>
        </is>
      </c>
      <c r="M30" s="13" t="inlineStr">
        <is>
          <t>✅</t>
        </is>
      </c>
      <c r="N30" s="13" t="inlineStr">
        <is>
          <t>✅</t>
        </is>
      </c>
      <c r="O30" s="13" t="inlineStr">
        <is>
          <t>✅</t>
        </is>
      </c>
      <c r="P30" s="13" t="inlineStr">
        <is>
          <t>✅</t>
        </is>
      </c>
      <c r="Q30" s="13" t="inlineStr">
        <is>
          <t>✅</t>
        </is>
      </c>
      <c r="R30" s="13" t="inlineStr">
        <is>
          <t>✅</t>
        </is>
      </c>
      <c r="S30" s="13" t="inlineStr">
        <is>
          <t>△</t>
        </is>
      </c>
      <c r="T30" s="13" t="inlineStr">
        <is>
          <t>△</t>
        </is>
      </c>
      <c r="U30" s="13" t="inlineStr">
        <is>
          <t>✅</t>
        </is>
      </c>
    </row>
    <row r="31">
      <c r="A31" s="12" t="inlineStr">
        <is>
          <t>SH07</t>
        </is>
      </c>
      <c r="B31" s="12" t="inlineStr">
        <is>
          <t>SH 共有・招待・バイラル</t>
        </is>
      </c>
      <c r="C31" s="12" t="inlineStr">
        <is>
          <t>QR・短縮URL・チラシ生成</t>
        </is>
      </c>
      <c r="D31" s="13">
        <f>COUNTIF(G31:U31,"✅")</f>
        <v/>
      </c>
      <c r="E31" s="13">
        <f>COUNTIF(G31:U31,"△")</f>
        <v/>
      </c>
      <c r="F31" s="13" t="inlineStr">
        <is>
          <t>✅</t>
        </is>
      </c>
      <c r="G31" s="13" t="inlineStr">
        <is>
          <t>✅</t>
        </is>
      </c>
      <c r="H31" s="13" t="inlineStr">
        <is>
          <t>✅</t>
        </is>
      </c>
      <c r="I31" s="13" t="inlineStr">
        <is>
          <t>✅</t>
        </is>
      </c>
      <c r="J31" s="13" t="inlineStr">
        <is>
          <t>✅</t>
        </is>
      </c>
      <c r="K31" s="13" t="inlineStr">
        <is>
          <t>△</t>
        </is>
      </c>
      <c r="L31" s="13" t="inlineStr">
        <is>
          <t>△</t>
        </is>
      </c>
      <c r="M31" s="13" t="inlineStr">
        <is>
          <t>✅</t>
        </is>
      </c>
      <c r="N31" s="13" t="inlineStr">
        <is>
          <t>△</t>
        </is>
      </c>
      <c r="O31" s="13" t="inlineStr">
        <is>
          <t>？</t>
        </is>
      </c>
      <c r="P31" s="13" t="inlineStr">
        <is>
          <t>？</t>
        </is>
      </c>
      <c r="Q31" s="13" t="inlineStr">
        <is>
          <t>△</t>
        </is>
      </c>
      <c r="R31" s="13" t="inlineStr">
        <is>
          <t>✅</t>
        </is>
      </c>
      <c r="S31" s="13" t="inlineStr">
        <is>
          <t>？</t>
        </is>
      </c>
      <c r="T31" s="13" t="inlineStr">
        <is>
          <t>？</t>
        </is>
      </c>
      <c r="U31" s="13" t="inlineStr">
        <is>
          <t>△</t>
        </is>
      </c>
    </row>
    <row r="32">
      <c r="A32" s="12" t="inlineStr">
        <is>
          <t>SH08</t>
        </is>
      </c>
      <c r="B32" s="12" t="inlineStr">
        <is>
          <t>SH 共有・招待・バイラル</t>
        </is>
      </c>
      <c r="C32" s="12" t="inlineStr">
        <is>
          <t>埋め込みウィジェット</t>
        </is>
      </c>
      <c r="D32" s="13">
        <f>COUNTIF(G32:U32,"✅")</f>
        <v/>
      </c>
      <c r="E32" s="13">
        <f>COUNTIF(G32:U32,"△")</f>
        <v/>
      </c>
      <c r="F32" s="13" t="inlineStr">
        <is>
          <t>❌</t>
        </is>
      </c>
      <c r="G32" s="13" t="inlineStr">
        <is>
          <t>✅</t>
        </is>
      </c>
      <c r="H32" s="13" t="inlineStr">
        <is>
          <t>△</t>
        </is>
      </c>
      <c r="I32" s="13" t="inlineStr">
        <is>
          <t>△</t>
        </is>
      </c>
      <c r="J32" s="13" t="inlineStr">
        <is>
          <t>✅</t>
        </is>
      </c>
      <c r="K32" s="13" t="inlineStr">
        <is>
          <t>✅</t>
        </is>
      </c>
      <c r="L32" s="13" t="inlineStr">
        <is>
          <t>？</t>
        </is>
      </c>
      <c r="M32" s="13" t="inlineStr">
        <is>
          <t>✅</t>
        </is>
      </c>
      <c r="N32" s="13" t="inlineStr">
        <is>
          <t>✅</t>
        </is>
      </c>
      <c r="O32" s="13" t="inlineStr">
        <is>
          <t>✅</t>
        </is>
      </c>
      <c r="P32" s="13" t="inlineStr">
        <is>
          <t>？</t>
        </is>
      </c>
      <c r="Q32" s="13" t="inlineStr">
        <is>
          <t>？</t>
        </is>
      </c>
      <c r="R32" s="13" t="inlineStr">
        <is>
          <t>？</t>
        </is>
      </c>
      <c r="S32" s="13" t="inlineStr">
        <is>
          <t>？</t>
        </is>
      </c>
      <c r="T32" s="13" t="inlineStr">
        <is>
          <t>✅</t>
        </is>
      </c>
      <c r="U32" s="13" t="inlineStr">
        <is>
          <t>？</t>
        </is>
      </c>
    </row>
    <row r="33">
      <c r="A33" s="12" t="inlineStr">
        <is>
          <t>OP01</t>
        </is>
      </c>
      <c r="B33" s="12" t="inlineStr">
        <is>
          <t>OP 主催者の作成・運用</t>
        </is>
      </c>
      <c r="C33" s="12" t="inlineStr">
        <is>
          <t>簡単な作成</t>
        </is>
      </c>
      <c r="D33" s="13">
        <f>COUNTIF(G33:U33,"✅")</f>
        <v/>
      </c>
      <c r="E33" s="13">
        <f>COUNTIF(G33:U33,"△")</f>
        <v/>
      </c>
      <c r="F33" s="13" t="inlineStr">
        <is>
          <t>✅</t>
        </is>
      </c>
      <c r="G33" s="13" t="inlineStr">
        <is>
          <t>✅</t>
        </is>
      </c>
      <c r="H33" s="13" t="inlineStr">
        <is>
          <t>✅</t>
        </is>
      </c>
      <c r="I33" s="13" t="inlineStr">
        <is>
          <t>△</t>
        </is>
      </c>
      <c r="J33" s="13" t="inlineStr">
        <is>
          <t>✅</t>
        </is>
      </c>
      <c r="K33" s="13" t="inlineStr">
        <is>
          <t>✅</t>
        </is>
      </c>
      <c r="L33" s="13" t="inlineStr">
        <is>
          <t>✅</t>
        </is>
      </c>
      <c r="M33" s="13" t="inlineStr">
        <is>
          <t>△</t>
        </is>
      </c>
      <c r="N33" s="13" t="inlineStr">
        <is>
          <t>✅</t>
        </is>
      </c>
      <c r="O33" s="13" t="inlineStr">
        <is>
          <t>✅</t>
        </is>
      </c>
      <c r="P33" s="13" t="inlineStr">
        <is>
          <t>✅</t>
        </is>
      </c>
      <c r="Q33" s="13" t="inlineStr">
        <is>
          <t>✅</t>
        </is>
      </c>
      <c r="R33" s="13" t="inlineStr">
        <is>
          <t>△</t>
        </is>
      </c>
      <c r="S33" s="13" t="inlineStr">
        <is>
          <t>❌</t>
        </is>
      </c>
      <c r="T33" s="13" t="inlineStr">
        <is>
          <t>△</t>
        </is>
      </c>
      <c r="U33" s="13" t="inlineStr">
        <is>
          <t>✅</t>
        </is>
      </c>
    </row>
    <row r="34">
      <c r="A34" s="12" t="inlineStr">
        <is>
          <t>OP02</t>
        </is>
      </c>
      <c r="B34" s="12" t="inlineStr">
        <is>
          <t>OP 主催者の作成・運用</t>
        </is>
      </c>
      <c r="C34" s="12" t="inlineStr">
        <is>
          <t>コピー・繰り返し作成</t>
        </is>
      </c>
      <c r="D34" s="13">
        <f>COUNTIF(G34:U34,"✅")</f>
        <v/>
      </c>
      <c r="E34" s="13">
        <f>COUNTIF(G34:U34,"△")</f>
        <v/>
      </c>
      <c r="F34" s="13" t="inlineStr">
        <is>
          <t>✅</t>
        </is>
      </c>
      <c r="G34" s="13" t="inlineStr">
        <is>
          <t>✅</t>
        </is>
      </c>
      <c r="H34" s="13" t="inlineStr">
        <is>
          <t>✅</t>
        </is>
      </c>
      <c r="I34" s="13" t="inlineStr">
        <is>
          <t>？</t>
        </is>
      </c>
      <c r="J34" s="13" t="inlineStr">
        <is>
          <t>✅</t>
        </is>
      </c>
      <c r="K34" s="13" t="inlineStr">
        <is>
          <t>✅</t>
        </is>
      </c>
      <c r="L34" s="13" t="inlineStr">
        <is>
          <t>△</t>
        </is>
      </c>
      <c r="M34" s="13" t="inlineStr">
        <is>
          <t>✅</t>
        </is>
      </c>
      <c r="N34" s="13" t="inlineStr">
        <is>
          <t>✅</t>
        </is>
      </c>
      <c r="O34" s="13" t="inlineStr">
        <is>
          <t>✅</t>
        </is>
      </c>
      <c r="P34" s="13" t="inlineStr">
        <is>
          <t>✅</t>
        </is>
      </c>
      <c r="Q34" s="13" t="inlineStr">
        <is>
          <t>✅</t>
        </is>
      </c>
      <c r="R34" s="13" t="inlineStr">
        <is>
          <t>△</t>
        </is>
      </c>
      <c r="S34" s="13" t="inlineStr">
        <is>
          <t>❌</t>
        </is>
      </c>
      <c r="T34" s="13" t="inlineStr">
        <is>
          <t>△</t>
        </is>
      </c>
      <c r="U34" s="13" t="inlineStr">
        <is>
          <t>？</t>
        </is>
      </c>
    </row>
    <row r="35">
      <c r="A35" s="12" t="inlineStr">
        <is>
          <t>OP03</t>
        </is>
      </c>
      <c r="B35" s="12" t="inlineStr">
        <is>
          <t>OP 主催者の作成・運用</t>
        </is>
      </c>
      <c r="C35" s="12" t="inlineStr">
        <is>
          <t>下書き・限定公開</t>
        </is>
      </c>
      <c r="D35" s="13">
        <f>COUNTIF(G35:U35,"✅")</f>
        <v/>
      </c>
      <c r="E35" s="13">
        <f>COUNTIF(G35:U35,"△")</f>
        <v/>
      </c>
      <c r="F35" s="13" t="inlineStr">
        <is>
          <t>✅</t>
        </is>
      </c>
      <c r="G35" s="13" t="inlineStr">
        <is>
          <t>✅</t>
        </is>
      </c>
      <c r="H35" s="13" t="inlineStr">
        <is>
          <t>✅</t>
        </is>
      </c>
      <c r="I35" s="13" t="inlineStr">
        <is>
          <t>△</t>
        </is>
      </c>
      <c r="J35" s="13" t="inlineStr">
        <is>
          <t>✅</t>
        </is>
      </c>
      <c r="K35" s="13" t="inlineStr">
        <is>
          <t>✅</t>
        </is>
      </c>
      <c r="L35" s="13" t="inlineStr">
        <is>
          <t>✅</t>
        </is>
      </c>
      <c r="M35" s="13" t="inlineStr">
        <is>
          <t>✅</t>
        </is>
      </c>
      <c r="N35" s="13" t="inlineStr">
        <is>
          <t>✅</t>
        </is>
      </c>
      <c r="O35" s="13" t="inlineStr">
        <is>
          <t>✅</t>
        </is>
      </c>
      <c r="P35" s="13" t="inlineStr">
        <is>
          <t>△</t>
        </is>
      </c>
      <c r="Q35" s="13" t="inlineStr">
        <is>
          <t>✅</t>
        </is>
      </c>
      <c r="R35" s="13" t="inlineStr">
        <is>
          <t>✅</t>
        </is>
      </c>
      <c r="S35" s="13" t="inlineStr">
        <is>
          <t>❌</t>
        </is>
      </c>
      <c r="T35" s="13" t="inlineStr">
        <is>
          <t>✅</t>
        </is>
      </c>
      <c r="U35" s="13" t="inlineStr">
        <is>
          <t>✅</t>
        </is>
      </c>
    </row>
    <row r="36">
      <c r="A36" s="12" t="inlineStr">
        <is>
          <t>OP04</t>
        </is>
      </c>
      <c r="B36" s="12" t="inlineStr">
        <is>
          <t>OP 主催者の作成・運用</t>
        </is>
      </c>
      <c r="C36" s="12" t="inlineStr">
        <is>
          <t>AI作成支援</t>
        </is>
      </c>
      <c r="D36" s="13">
        <f>COUNTIF(G36:U36,"✅")</f>
        <v/>
      </c>
      <c r="E36" s="13">
        <f>COUNTIF(G36:U36,"△")</f>
        <v/>
      </c>
      <c r="F36" s="13" t="inlineStr">
        <is>
          <t>❌</t>
        </is>
      </c>
      <c r="G36" s="13" t="inlineStr">
        <is>
          <t>✅</t>
        </is>
      </c>
      <c r="H36" s="13" t="inlineStr">
        <is>
          <t>△</t>
        </is>
      </c>
      <c r="I36" s="13" t="inlineStr">
        <is>
          <t>？</t>
        </is>
      </c>
      <c r="J36" s="13" t="inlineStr">
        <is>
          <t>△</t>
        </is>
      </c>
      <c r="K36" s="13" t="inlineStr">
        <is>
          <t>？</t>
        </is>
      </c>
      <c r="L36" s="13" t="inlineStr">
        <is>
          <t>？</t>
        </is>
      </c>
      <c r="M36" s="13" t="inlineStr">
        <is>
          <t>？</t>
        </is>
      </c>
      <c r="N36" s="13" t="inlineStr">
        <is>
          <t>？</t>
        </is>
      </c>
      <c r="O36" s="13" t="inlineStr">
        <is>
          <t>？</t>
        </is>
      </c>
      <c r="P36" s="13" t="inlineStr">
        <is>
          <t>？</t>
        </is>
      </c>
      <c r="Q36" s="13" t="inlineStr">
        <is>
          <t>？</t>
        </is>
      </c>
      <c r="R36" s="13" t="inlineStr">
        <is>
          <t>？</t>
        </is>
      </c>
      <c r="S36" s="13" t="inlineStr">
        <is>
          <t>❌</t>
        </is>
      </c>
      <c r="T36" s="13" t="inlineStr">
        <is>
          <t>？</t>
        </is>
      </c>
      <c r="U36" s="13" t="inlineStr">
        <is>
          <t>？</t>
        </is>
      </c>
    </row>
    <row r="37">
      <c r="A37" s="12" t="inlineStr">
        <is>
          <t>OP05</t>
        </is>
      </c>
      <c r="B37" s="12" t="inlineStr">
        <is>
          <t>OP 主催者の作成・運用</t>
        </is>
      </c>
      <c r="C37" s="12" t="inlineStr">
        <is>
          <t>共同主催・運営メンバー権限</t>
        </is>
      </c>
      <c r="D37" s="13">
        <f>COUNTIF(G37:U37,"✅")</f>
        <v/>
      </c>
      <c r="E37" s="13">
        <f>COUNTIF(G37:U37,"△")</f>
        <v/>
      </c>
      <c r="F37" s="13" t="inlineStr">
        <is>
          <t>✅</t>
        </is>
      </c>
      <c r="G37" s="13" t="inlineStr">
        <is>
          <t>✅</t>
        </is>
      </c>
      <c r="H37" s="13" t="inlineStr">
        <is>
          <t>✅</t>
        </is>
      </c>
      <c r="I37" s="13" t="inlineStr">
        <is>
          <t>？</t>
        </is>
      </c>
      <c r="J37" s="13" t="inlineStr">
        <is>
          <t>✅</t>
        </is>
      </c>
      <c r="K37" s="13" t="inlineStr">
        <is>
          <t>✅</t>
        </is>
      </c>
      <c r="L37" s="13" t="inlineStr">
        <is>
          <t>✅</t>
        </is>
      </c>
      <c r="M37" s="13" t="inlineStr">
        <is>
          <t>✅</t>
        </is>
      </c>
      <c r="N37" s="13" t="inlineStr">
        <is>
          <t>△</t>
        </is>
      </c>
      <c r="O37" s="13" t="inlineStr">
        <is>
          <t>△</t>
        </is>
      </c>
      <c r="P37" s="13" t="inlineStr">
        <is>
          <t>△</t>
        </is>
      </c>
      <c r="Q37" s="13" t="inlineStr">
        <is>
          <t>△</t>
        </is>
      </c>
      <c r="R37" s="13" t="inlineStr">
        <is>
          <t>✅</t>
        </is>
      </c>
      <c r="S37" s="13" t="inlineStr">
        <is>
          <t>❌</t>
        </is>
      </c>
      <c r="T37" s="13" t="inlineStr">
        <is>
          <t>？</t>
        </is>
      </c>
      <c r="U37" s="13" t="inlineStr">
        <is>
          <t>✅</t>
        </is>
      </c>
    </row>
    <row r="38">
      <c r="A38" s="12" t="inlineStr">
        <is>
          <t>OP06</t>
        </is>
      </c>
      <c r="B38" s="12" t="inlineStr">
        <is>
          <t>OP 主催者の作成・運用</t>
        </is>
      </c>
      <c r="C38" s="12" t="inlineStr">
        <is>
          <t>参加者管理・名簿出力</t>
        </is>
      </c>
      <c r="D38" s="13">
        <f>COUNTIF(G38:U38,"✅")</f>
        <v/>
      </c>
      <c r="E38" s="13">
        <f>COUNTIF(G38:U38,"△")</f>
        <v/>
      </c>
      <c r="F38" s="13" t="inlineStr">
        <is>
          <t>✅</t>
        </is>
      </c>
      <c r="G38" s="13" t="inlineStr">
        <is>
          <t>✅</t>
        </is>
      </c>
      <c r="H38" s="13" t="inlineStr">
        <is>
          <t>✅</t>
        </is>
      </c>
      <c r="I38" s="13" t="inlineStr">
        <is>
          <t>△</t>
        </is>
      </c>
      <c r="J38" s="13" t="inlineStr">
        <is>
          <t>✅</t>
        </is>
      </c>
      <c r="K38" s="13" t="inlineStr">
        <is>
          <t>✅</t>
        </is>
      </c>
      <c r="L38" s="13" t="inlineStr">
        <is>
          <t>✅</t>
        </is>
      </c>
      <c r="M38" s="13" t="inlineStr">
        <is>
          <t>✅</t>
        </is>
      </c>
      <c r="N38" s="13" t="inlineStr">
        <is>
          <t>✅</t>
        </is>
      </c>
      <c r="O38" s="13" t="inlineStr">
        <is>
          <t>✅</t>
        </is>
      </c>
      <c r="P38" s="13" t="inlineStr">
        <is>
          <t>✅</t>
        </is>
      </c>
      <c r="Q38" s="13" t="inlineStr">
        <is>
          <t>✅</t>
        </is>
      </c>
      <c r="R38" s="13" t="inlineStr">
        <is>
          <t>△</t>
        </is>
      </c>
      <c r="S38" s="13" t="inlineStr">
        <is>
          <t>❌</t>
        </is>
      </c>
      <c r="T38" s="13" t="inlineStr">
        <is>
          <t>△</t>
        </is>
      </c>
      <c r="U38" s="13" t="inlineStr">
        <is>
          <t>？</t>
        </is>
      </c>
    </row>
    <row r="39">
      <c r="A39" s="12" t="inlineStr">
        <is>
          <t>OP07</t>
        </is>
      </c>
      <c r="B39" s="12" t="inlineStr">
        <is>
          <t>OP 主催者の作成・運用</t>
        </is>
      </c>
      <c r="C39" s="12" t="inlineStr">
        <is>
          <t>一斉メッセージ</t>
        </is>
      </c>
      <c r="D39" s="13">
        <f>COUNTIF(G39:U39,"✅")</f>
        <v/>
      </c>
      <c r="E39" s="13">
        <f>COUNTIF(G39:U39,"△")</f>
        <v/>
      </c>
      <c r="F39" s="13" t="inlineStr">
        <is>
          <t>✅</t>
        </is>
      </c>
      <c r="G39" s="13" t="inlineStr">
        <is>
          <t>✅</t>
        </is>
      </c>
      <c r="H39" s="13" t="inlineStr">
        <is>
          <t>✅</t>
        </is>
      </c>
      <c r="I39" s="13" t="inlineStr">
        <is>
          <t>△</t>
        </is>
      </c>
      <c r="J39" s="13" t="inlineStr">
        <is>
          <t>✅</t>
        </is>
      </c>
      <c r="K39" s="13" t="inlineStr">
        <is>
          <t>✅</t>
        </is>
      </c>
      <c r="L39" s="13" t="inlineStr">
        <is>
          <t>✅</t>
        </is>
      </c>
      <c r="M39" s="13" t="inlineStr">
        <is>
          <t>✅</t>
        </is>
      </c>
      <c r="N39" s="13" t="inlineStr">
        <is>
          <t>✅</t>
        </is>
      </c>
      <c r="O39" s="13" t="inlineStr">
        <is>
          <t>✅</t>
        </is>
      </c>
      <c r="P39" s="13" t="inlineStr">
        <is>
          <t>✅</t>
        </is>
      </c>
      <c r="Q39" s="13" t="inlineStr">
        <is>
          <t>△</t>
        </is>
      </c>
      <c r="R39" s="13" t="inlineStr">
        <is>
          <t>✅</t>
        </is>
      </c>
      <c r="S39" s="13" t="inlineStr">
        <is>
          <t>❌</t>
        </is>
      </c>
      <c r="T39" s="13" t="inlineStr">
        <is>
          <t>？</t>
        </is>
      </c>
      <c r="U39" s="13" t="inlineStr">
        <is>
          <t>？</t>
        </is>
      </c>
    </row>
    <row r="40">
      <c r="A40" s="12" t="inlineStr">
        <is>
          <t>OP08</t>
        </is>
      </c>
      <c r="B40" s="12" t="inlineStr">
        <is>
          <t>OP 主催者の作成・運用</t>
        </is>
      </c>
      <c r="C40" s="12" t="inlineStr">
        <is>
          <t>当日運営ツール</t>
        </is>
      </c>
      <c r="D40" s="13">
        <f>COUNTIF(G40:U40,"✅")</f>
        <v/>
      </c>
      <c r="E40" s="13">
        <f>COUNTIF(G40:U40,"△")</f>
        <v/>
      </c>
      <c r="F40" s="13" t="inlineStr">
        <is>
          <t>△</t>
        </is>
      </c>
      <c r="G40" s="13" t="inlineStr">
        <is>
          <t>✅</t>
        </is>
      </c>
      <c r="H40" s="13" t="inlineStr">
        <is>
          <t>✅</t>
        </is>
      </c>
      <c r="I40" s="13" t="inlineStr">
        <is>
          <t>✅</t>
        </is>
      </c>
      <c r="J40" s="13" t="inlineStr">
        <is>
          <t>✅</t>
        </is>
      </c>
      <c r="K40" s="13" t="inlineStr">
        <is>
          <t>✅</t>
        </is>
      </c>
      <c r="L40" s="13" t="inlineStr">
        <is>
          <t>✅</t>
        </is>
      </c>
      <c r="M40" s="13" t="inlineStr">
        <is>
          <t>✅</t>
        </is>
      </c>
      <c r="N40" s="13" t="inlineStr">
        <is>
          <t>✅</t>
        </is>
      </c>
      <c r="O40" s="13" t="inlineStr">
        <is>
          <t>✅</t>
        </is>
      </c>
      <c r="P40" s="13" t="inlineStr">
        <is>
          <t>✅</t>
        </is>
      </c>
      <c r="Q40" s="13" t="inlineStr">
        <is>
          <t>✅</t>
        </is>
      </c>
      <c r="R40" s="13" t="inlineStr">
        <is>
          <t>？</t>
        </is>
      </c>
      <c r="S40" s="13" t="inlineStr">
        <is>
          <t>❌</t>
        </is>
      </c>
      <c r="T40" s="13" t="inlineStr">
        <is>
          <t>？</t>
        </is>
      </c>
      <c r="U40" s="13" t="inlineStr">
        <is>
          <t>？</t>
        </is>
      </c>
    </row>
    <row r="41">
      <c r="A41" s="12" t="inlineStr">
        <is>
          <t>OP09</t>
        </is>
      </c>
      <c r="B41" s="12" t="inlineStr">
        <is>
          <t>OP 主催者の作成・運用</t>
        </is>
      </c>
      <c r="C41" s="12" t="inlineStr">
        <is>
          <t>売上・入金管理</t>
        </is>
      </c>
      <c r="D41" s="13">
        <f>COUNTIF(G41:U41,"✅")</f>
        <v/>
      </c>
      <c r="E41" s="13">
        <f>COUNTIF(G41:U41,"△")</f>
        <v/>
      </c>
      <c r="F41" s="13" t="inlineStr">
        <is>
          <t>△</t>
        </is>
      </c>
      <c r="G41" s="13" t="inlineStr">
        <is>
          <t>✅</t>
        </is>
      </c>
      <c r="H41" s="13" t="inlineStr">
        <is>
          <t>✅</t>
        </is>
      </c>
      <c r="I41" s="13" t="inlineStr">
        <is>
          <t>✅</t>
        </is>
      </c>
      <c r="J41" s="13" t="inlineStr">
        <is>
          <t>✅</t>
        </is>
      </c>
      <c r="K41" s="13" t="inlineStr">
        <is>
          <t>✅</t>
        </is>
      </c>
      <c r="L41" s="13" t="inlineStr">
        <is>
          <t>△</t>
        </is>
      </c>
      <c r="M41" s="13" t="inlineStr">
        <is>
          <t>✅</t>
        </is>
      </c>
      <c r="N41" s="13" t="inlineStr">
        <is>
          <t>✅</t>
        </is>
      </c>
      <c r="O41" s="13" t="inlineStr">
        <is>
          <t>✅</t>
        </is>
      </c>
      <c r="P41" s="13" t="inlineStr">
        <is>
          <t>△</t>
        </is>
      </c>
      <c r="Q41" s="13" t="inlineStr">
        <is>
          <t>△</t>
        </is>
      </c>
      <c r="R41" s="13" t="inlineStr">
        <is>
          <t>△</t>
        </is>
      </c>
      <c r="S41" s="13" t="inlineStr">
        <is>
          <t>❌</t>
        </is>
      </c>
      <c r="T41" s="13" t="inlineStr">
        <is>
          <t>✅</t>
        </is>
      </c>
      <c r="U41" s="13" t="inlineStr">
        <is>
          <t>？</t>
        </is>
      </c>
    </row>
    <row r="42">
      <c r="A42" s="12" t="inlineStr">
        <is>
          <t>OP10</t>
        </is>
      </c>
      <c r="B42" s="12" t="inlineStr">
        <is>
          <t>OP 主催者の作成・運用</t>
        </is>
      </c>
      <c r="C42" s="12" t="inlineStr">
        <is>
          <t>流入・申込の分析</t>
        </is>
      </c>
      <c r="D42" s="13">
        <f>COUNTIF(G42:U42,"✅")</f>
        <v/>
      </c>
      <c r="E42" s="13">
        <f>COUNTIF(G42:U42,"△")</f>
        <v/>
      </c>
      <c r="F42" s="13" t="inlineStr">
        <is>
          <t>❌</t>
        </is>
      </c>
      <c r="G42" s="13" t="inlineStr">
        <is>
          <t>✅</t>
        </is>
      </c>
      <c r="H42" s="13" t="inlineStr">
        <is>
          <t>✅</t>
        </is>
      </c>
      <c r="I42" s="13" t="inlineStr">
        <is>
          <t>✅</t>
        </is>
      </c>
      <c r="J42" s="13" t="inlineStr">
        <is>
          <t>✅</t>
        </is>
      </c>
      <c r="K42" s="13" t="inlineStr">
        <is>
          <t>✅</t>
        </is>
      </c>
      <c r="L42" s="13" t="inlineStr">
        <is>
          <t>△</t>
        </is>
      </c>
      <c r="M42" s="13" t="inlineStr">
        <is>
          <t>✅</t>
        </is>
      </c>
      <c r="N42" s="13" t="inlineStr">
        <is>
          <t>✅</t>
        </is>
      </c>
      <c r="O42" s="13" t="inlineStr">
        <is>
          <t>✅</t>
        </is>
      </c>
      <c r="P42" s="13" t="inlineStr">
        <is>
          <t>✅</t>
        </is>
      </c>
      <c r="Q42" s="13" t="inlineStr">
        <is>
          <t>△</t>
        </is>
      </c>
      <c r="R42" s="13" t="inlineStr">
        <is>
          <t>△</t>
        </is>
      </c>
      <c r="S42" s="13" t="inlineStr">
        <is>
          <t>❌</t>
        </is>
      </c>
      <c r="T42" s="13" t="inlineStr">
        <is>
          <t>？</t>
        </is>
      </c>
      <c r="U42" s="13" t="inlineStr">
        <is>
          <t>？</t>
        </is>
      </c>
    </row>
    <row r="43">
      <c r="A43" s="12" t="inlineStr">
        <is>
          <t>OP11</t>
        </is>
      </c>
      <c r="B43" s="12" t="inlineStr">
        <is>
          <t>OP 主催者の作成・運用</t>
        </is>
      </c>
      <c r="C43" s="12" t="inlineStr">
        <is>
          <t>主催者ページ・グループページ</t>
        </is>
      </c>
      <c r="D43" s="13">
        <f>COUNTIF(G43:U43,"✅")</f>
        <v/>
      </c>
      <c r="E43" s="13">
        <f>COUNTIF(G43:U43,"△")</f>
        <v/>
      </c>
      <c r="F43" s="13" t="inlineStr">
        <is>
          <t>✅</t>
        </is>
      </c>
      <c r="G43" s="13" t="inlineStr">
        <is>
          <t>✅</t>
        </is>
      </c>
      <c r="H43" s="13" t="inlineStr">
        <is>
          <t>✅</t>
        </is>
      </c>
      <c r="I43" s="13" t="inlineStr">
        <is>
          <t>✅</t>
        </is>
      </c>
      <c r="J43" s="13" t="inlineStr">
        <is>
          <t>✅</t>
        </is>
      </c>
      <c r="K43" s="13" t="inlineStr">
        <is>
          <t>✅</t>
        </is>
      </c>
      <c r="L43" s="13" t="inlineStr">
        <is>
          <t>✅</t>
        </is>
      </c>
      <c r="M43" s="13" t="inlineStr">
        <is>
          <t>✅</t>
        </is>
      </c>
      <c r="N43" s="13" t="inlineStr">
        <is>
          <t>✅</t>
        </is>
      </c>
      <c r="O43" s="13" t="inlineStr">
        <is>
          <t>✅</t>
        </is>
      </c>
      <c r="P43" s="13" t="inlineStr">
        <is>
          <t>✅</t>
        </is>
      </c>
      <c r="Q43" s="13" t="inlineStr">
        <is>
          <t>✅</t>
        </is>
      </c>
      <c r="R43" s="13" t="inlineStr">
        <is>
          <t>✅</t>
        </is>
      </c>
      <c r="S43" s="13" t="inlineStr">
        <is>
          <t>❌</t>
        </is>
      </c>
      <c r="T43" s="13" t="inlineStr">
        <is>
          <t>✅</t>
        </is>
      </c>
      <c r="U43" s="13" t="inlineStr">
        <is>
          <t>✅</t>
        </is>
      </c>
    </row>
    <row r="44">
      <c r="A44" s="12" t="inlineStr">
        <is>
          <t>OP12</t>
        </is>
      </c>
      <c r="B44" s="12" t="inlineStr">
        <is>
          <t>OP 主催者の作成・運用</t>
        </is>
      </c>
      <c r="C44" s="12" t="inlineStr">
        <is>
          <t>外部ツール連携・API</t>
        </is>
      </c>
      <c r="D44" s="13">
        <f>COUNTIF(G44:U44,"✅")</f>
        <v/>
      </c>
      <c r="E44" s="13">
        <f>COUNTIF(G44:U44,"△")</f>
        <v/>
      </c>
      <c r="F44" s="13" t="inlineStr">
        <is>
          <t>✅</t>
        </is>
      </c>
      <c r="G44" s="13" t="inlineStr">
        <is>
          <t>✅</t>
        </is>
      </c>
      <c r="H44" s="13" t="inlineStr">
        <is>
          <t>△</t>
        </is>
      </c>
      <c r="I44" s="13" t="inlineStr">
        <is>
          <t>✅</t>
        </is>
      </c>
      <c r="J44" s="13" t="inlineStr">
        <is>
          <t>✅</t>
        </is>
      </c>
      <c r="K44" s="13" t="inlineStr">
        <is>
          <t>△</t>
        </is>
      </c>
      <c r="L44" s="13" t="inlineStr">
        <is>
          <t>△</t>
        </is>
      </c>
      <c r="M44" s="13" t="inlineStr">
        <is>
          <t>✅</t>
        </is>
      </c>
      <c r="N44" s="13" t="inlineStr">
        <is>
          <t>△</t>
        </is>
      </c>
      <c r="O44" s="13" t="inlineStr">
        <is>
          <t>△</t>
        </is>
      </c>
      <c r="P44" s="13" t="inlineStr">
        <is>
          <t>✅</t>
        </is>
      </c>
      <c r="Q44" s="13" t="inlineStr">
        <is>
          <t>△</t>
        </is>
      </c>
      <c r="R44" s="13" t="inlineStr">
        <is>
          <t>？</t>
        </is>
      </c>
      <c r="S44" s="13" t="inlineStr">
        <is>
          <t>❌</t>
        </is>
      </c>
      <c r="T44" s="13" t="inlineStr">
        <is>
          <t>△</t>
        </is>
      </c>
      <c r="U44" s="13" t="inlineStr">
        <is>
          <t>△</t>
        </is>
      </c>
    </row>
    <row r="45">
      <c r="A45" s="12" t="inlineStr">
        <is>
          <t>AC01</t>
        </is>
      </c>
      <c r="B45" s="12" t="inlineStr">
        <is>
          <t>AC 主催者獲得の仕組み(供給側)</t>
        </is>
      </c>
      <c r="C45" s="12" t="inlineStr">
        <is>
          <t>無料イベントは無料</t>
        </is>
      </c>
      <c r="D45" s="13">
        <f>COUNTIF(G45:U45,"✅")</f>
        <v/>
      </c>
      <c r="E45" s="13">
        <f>COUNTIF(G45:U45,"△")</f>
        <v/>
      </c>
      <c r="F45" s="13" t="inlineStr">
        <is>
          <t>✅</t>
        </is>
      </c>
      <c r="G45" s="13" t="inlineStr">
        <is>
          <t>✅</t>
        </is>
      </c>
      <c r="H45" s="13" t="inlineStr">
        <is>
          <t>△</t>
        </is>
      </c>
      <c r="I45" s="13" t="inlineStr">
        <is>
          <t>？</t>
        </is>
      </c>
      <c r="J45" s="13" t="inlineStr">
        <is>
          <t>△</t>
        </is>
      </c>
      <c r="K45" s="13" t="inlineStr">
        <is>
          <t>✅</t>
        </is>
      </c>
      <c r="L45" s="13" t="inlineStr">
        <is>
          <t>✅</t>
        </is>
      </c>
      <c r="M45" s="13" t="inlineStr">
        <is>
          <t>？</t>
        </is>
      </c>
      <c r="N45" s="13" t="inlineStr">
        <is>
          <t>✅</t>
        </is>
      </c>
      <c r="O45" s="13" t="inlineStr">
        <is>
          <t>△</t>
        </is>
      </c>
      <c r="P45" s="13" t="inlineStr">
        <is>
          <t>✅</t>
        </is>
      </c>
      <c r="Q45" s="13" t="inlineStr">
        <is>
          <t>✅</t>
        </is>
      </c>
      <c r="R45" s="13" t="inlineStr">
        <is>
          <t>❌</t>
        </is>
      </c>
      <c r="S45" s="13" t="inlineStr">
        <is>
          <t>❌</t>
        </is>
      </c>
      <c r="T45" s="13" t="inlineStr">
        <is>
          <t>△</t>
        </is>
      </c>
      <c r="U45" s="13" t="inlineStr">
        <is>
          <t>△</t>
        </is>
      </c>
    </row>
    <row r="46">
      <c r="A46" s="12" t="inlineStr">
        <is>
          <t>AC02</t>
        </is>
      </c>
      <c r="B46" s="12" t="inlineStr">
        <is>
          <t>AC 主催者獲得の仕組み(供給側)</t>
        </is>
      </c>
      <c r="C46" s="12" t="inlineStr">
        <is>
          <t>手数料負担の選択</t>
        </is>
      </c>
      <c r="D46" s="13">
        <f>COUNTIF(G46:U46,"✅")</f>
        <v/>
      </c>
      <c r="E46" s="13">
        <f>COUNTIF(G46:U46,"△")</f>
        <v/>
      </c>
      <c r="F46" s="13" t="inlineStr">
        <is>
          <t>✅</t>
        </is>
      </c>
      <c r="G46" s="13" t="inlineStr">
        <is>
          <t>✅</t>
        </is>
      </c>
      <c r="H46" s="13" t="inlineStr">
        <is>
          <t>❌</t>
        </is>
      </c>
      <c r="I46" s="13" t="inlineStr">
        <is>
          <t>？</t>
        </is>
      </c>
      <c r="J46" s="13" t="inlineStr">
        <is>
          <t>✅</t>
        </is>
      </c>
      <c r="K46" s="13" t="inlineStr">
        <is>
          <t>❌</t>
        </is>
      </c>
      <c r="L46" s="13" t="inlineStr">
        <is>
          <t>△</t>
        </is>
      </c>
      <c r="M46" s="13" t="inlineStr">
        <is>
          <t>△</t>
        </is>
      </c>
      <c r="N46" s="13" t="inlineStr">
        <is>
          <t>？</t>
        </is>
      </c>
      <c r="O46" s="13" t="inlineStr">
        <is>
          <t>？</t>
        </is>
      </c>
      <c r="P46" s="13" t="inlineStr">
        <is>
          <t>？</t>
        </is>
      </c>
      <c r="Q46" s="13" t="inlineStr">
        <is>
          <t>？</t>
        </is>
      </c>
      <c r="R46" s="13" t="inlineStr">
        <is>
          <t>？</t>
        </is>
      </c>
      <c r="S46" s="13" t="inlineStr">
        <is>
          <t>❌</t>
        </is>
      </c>
      <c r="T46" s="13" t="inlineStr">
        <is>
          <t>❌</t>
        </is>
      </c>
      <c r="U46" s="13" t="inlineStr">
        <is>
          <t>？</t>
        </is>
      </c>
    </row>
    <row r="47">
      <c r="A47" s="12" t="inlineStr">
        <is>
          <t>AC03</t>
        </is>
      </c>
      <c r="B47" s="12" t="inlineStr">
        <is>
          <t>AC 主催者獲得の仕組み(供給側)</t>
        </is>
      </c>
      <c r="C47" s="12" t="inlineStr">
        <is>
          <t>参加者データの所有・出力</t>
        </is>
      </c>
      <c r="D47" s="13">
        <f>COUNTIF(G47:U47,"✅")</f>
        <v/>
      </c>
      <c r="E47" s="13">
        <f>COUNTIF(G47:U47,"△")</f>
        <v/>
      </c>
      <c r="F47" s="13" t="inlineStr">
        <is>
          <t>△</t>
        </is>
      </c>
      <c r="G47" s="13" t="inlineStr">
        <is>
          <t>✅</t>
        </is>
      </c>
      <c r="H47" s="13" t="inlineStr">
        <is>
          <t>△</t>
        </is>
      </c>
      <c r="I47" s="13" t="inlineStr">
        <is>
          <t>△</t>
        </is>
      </c>
      <c r="J47" s="13" t="inlineStr">
        <is>
          <t>✅</t>
        </is>
      </c>
      <c r="K47" s="13" t="inlineStr">
        <is>
          <t>✅</t>
        </is>
      </c>
      <c r="L47" s="13" t="inlineStr">
        <is>
          <t>✅</t>
        </is>
      </c>
      <c r="M47" s="13" t="inlineStr">
        <is>
          <t>✅</t>
        </is>
      </c>
      <c r="N47" s="13" t="inlineStr">
        <is>
          <t>△</t>
        </is>
      </c>
      <c r="O47" s="13" t="inlineStr">
        <is>
          <t>✅</t>
        </is>
      </c>
      <c r="P47" s="13" t="inlineStr">
        <is>
          <t>△</t>
        </is>
      </c>
      <c r="Q47" s="13" t="inlineStr">
        <is>
          <t>✅</t>
        </is>
      </c>
      <c r="R47" s="13" t="inlineStr">
        <is>
          <t>△</t>
        </is>
      </c>
      <c r="S47" s="13" t="inlineStr">
        <is>
          <t>❌</t>
        </is>
      </c>
      <c r="T47" s="13" t="inlineStr">
        <is>
          <t>△</t>
        </is>
      </c>
      <c r="U47" s="13" t="inlineStr">
        <is>
          <t>？</t>
        </is>
      </c>
    </row>
    <row r="48">
      <c r="A48" s="12" t="inlineStr">
        <is>
          <t>AC04</t>
        </is>
      </c>
      <c r="B48" s="12" t="inlineStr">
        <is>
          <t>AC 主催者獲得の仕組み(供給側)</t>
        </is>
      </c>
      <c r="C48" s="12" t="inlineStr">
        <is>
          <t>他サービスからの移行</t>
        </is>
      </c>
      <c r="D48" s="13">
        <f>COUNTIF(G48:U48,"✅")</f>
        <v/>
      </c>
      <c r="E48" s="13">
        <f>COUNTIF(G48:U48,"△")</f>
        <v/>
      </c>
      <c r="F48" s="13" t="inlineStr">
        <is>
          <t>❌</t>
        </is>
      </c>
      <c r="G48" s="13" t="inlineStr">
        <is>
          <t>△</t>
        </is>
      </c>
      <c r="H48" s="13" t="inlineStr">
        <is>
          <t>？</t>
        </is>
      </c>
      <c r="I48" s="13" t="inlineStr">
        <is>
          <t>？</t>
        </is>
      </c>
      <c r="J48" s="13" t="inlineStr">
        <is>
          <t>✅</t>
        </is>
      </c>
      <c r="K48" s="13" t="inlineStr">
        <is>
          <t>△</t>
        </is>
      </c>
      <c r="L48" s="13" t="inlineStr">
        <is>
          <t>？</t>
        </is>
      </c>
      <c r="M48" s="13" t="inlineStr">
        <is>
          <t>△</t>
        </is>
      </c>
      <c r="N48" s="13" t="inlineStr">
        <is>
          <t>△</t>
        </is>
      </c>
      <c r="O48" s="13" t="inlineStr">
        <is>
          <t>△</t>
        </is>
      </c>
      <c r="P48" s="13" t="inlineStr">
        <is>
          <t>？</t>
        </is>
      </c>
      <c r="Q48" s="13" t="inlineStr">
        <is>
          <t>？</t>
        </is>
      </c>
      <c r="R48" s="13" t="inlineStr">
        <is>
          <t>？</t>
        </is>
      </c>
      <c r="S48" s="13" t="inlineStr">
        <is>
          <t>❌</t>
        </is>
      </c>
      <c r="T48" s="13" t="inlineStr">
        <is>
          <t>？</t>
        </is>
      </c>
      <c r="U48" s="13" t="inlineStr">
        <is>
          <t>？</t>
        </is>
      </c>
    </row>
    <row r="49">
      <c r="A49" s="12" t="inlineStr">
        <is>
          <t>AC05</t>
        </is>
      </c>
      <c r="B49" s="12" t="inlineStr">
        <is>
          <t>AC 主催者獲得の仕組み(供給側)</t>
        </is>
      </c>
      <c r="C49" s="12" t="inlineStr">
        <is>
          <t>主催者紹介・アンバサダー</t>
        </is>
      </c>
      <c r="D49" s="13">
        <f>COUNTIF(G49:U49,"✅")</f>
        <v/>
      </c>
      <c r="E49" s="13">
        <f>COUNTIF(G49:U49,"△")</f>
        <v/>
      </c>
      <c r="F49" s="13" t="inlineStr">
        <is>
          <t>❌</t>
        </is>
      </c>
      <c r="G49" s="13" t="inlineStr">
        <is>
          <t>？</t>
        </is>
      </c>
      <c r="H49" s="13" t="inlineStr">
        <is>
          <t>？</t>
        </is>
      </c>
      <c r="I49" s="13" t="inlineStr">
        <is>
          <t>？</t>
        </is>
      </c>
      <c r="J49" s="13" t="inlineStr">
        <is>
          <t>✅</t>
        </is>
      </c>
      <c r="K49" s="13" t="inlineStr">
        <is>
          <t>？</t>
        </is>
      </c>
      <c r="L49" s="13" t="inlineStr">
        <is>
          <t>？</t>
        </is>
      </c>
      <c r="M49" s="13" t="inlineStr">
        <is>
          <t>✅</t>
        </is>
      </c>
      <c r="N49" s="13" t="inlineStr">
        <is>
          <t>？</t>
        </is>
      </c>
      <c r="O49" s="13" t="inlineStr">
        <is>
          <t>？</t>
        </is>
      </c>
      <c r="P49" s="13" t="inlineStr">
        <is>
          <t>？</t>
        </is>
      </c>
      <c r="Q49" s="13" t="inlineStr">
        <is>
          <t>？</t>
        </is>
      </c>
      <c r="R49" s="13" t="inlineStr">
        <is>
          <t>✅</t>
        </is>
      </c>
      <c r="S49" s="13" t="inlineStr">
        <is>
          <t>✅</t>
        </is>
      </c>
      <c r="T49" s="13" t="inlineStr">
        <is>
          <t>△</t>
        </is>
      </c>
      <c r="U49" s="13" t="inlineStr">
        <is>
          <t>△</t>
        </is>
      </c>
    </row>
    <row r="50">
      <c r="A50" s="12" t="inlineStr">
        <is>
          <t>AC06</t>
        </is>
      </c>
      <c r="B50" s="12" t="inlineStr">
        <is>
          <t>AC 主催者獲得の仕組み(供給側)</t>
        </is>
      </c>
      <c r="C50" s="12" t="inlineStr">
        <is>
          <t>主催者向け教育・テンプレ</t>
        </is>
      </c>
      <c r="D50" s="13">
        <f>COUNTIF(G50:U50,"✅")</f>
        <v/>
      </c>
      <c r="E50" s="13">
        <f>COUNTIF(G50:U50,"△")</f>
        <v/>
      </c>
      <c r="F50" s="13" t="inlineStr">
        <is>
          <t>✅</t>
        </is>
      </c>
      <c r="G50" s="13" t="inlineStr">
        <is>
          <t>✅</t>
        </is>
      </c>
      <c r="H50" s="13" t="inlineStr">
        <is>
          <t>✅</t>
        </is>
      </c>
      <c r="I50" s="13" t="inlineStr">
        <is>
          <t>✅</t>
        </is>
      </c>
      <c r="J50" s="13" t="inlineStr">
        <is>
          <t>✅</t>
        </is>
      </c>
      <c r="K50" s="13" t="inlineStr">
        <is>
          <t>✅</t>
        </is>
      </c>
      <c r="L50" s="13" t="inlineStr">
        <is>
          <t>✅</t>
        </is>
      </c>
      <c r="M50" s="13" t="inlineStr">
        <is>
          <t>✅</t>
        </is>
      </c>
      <c r="N50" s="13" t="inlineStr">
        <is>
          <t>✅</t>
        </is>
      </c>
      <c r="O50" s="13" t="inlineStr">
        <is>
          <t>✅</t>
        </is>
      </c>
      <c r="P50" s="13" t="inlineStr">
        <is>
          <t>✅</t>
        </is>
      </c>
      <c r="Q50" s="13" t="inlineStr">
        <is>
          <t>✅</t>
        </is>
      </c>
      <c r="R50" s="13" t="inlineStr">
        <is>
          <t>✅</t>
        </is>
      </c>
      <c r="S50" s="13" t="inlineStr">
        <is>
          <t>❌</t>
        </is>
      </c>
      <c r="T50" s="13" t="inlineStr">
        <is>
          <t>✅</t>
        </is>
      </c>
      <c r="U50" s="13" t="inlineStr">
        <is>
          <t>？</t>
        </is>
      </c>
    </row>
    <row r="51">
      <c r="A51" s="12" t="inlineStr">
        <is>
          <t>AC07</t>
        </is>
      </c>
      <c r="B51" s="12" t="inlineStr">
        <is>
          <t>AC 主催者獲得の仕組み(供給側)</t>
        </is>
      </c>
      <c r="C51" s="12" t="inlineStr">
        <is>
          <t>集客支援の商品</t>
        </is>
      </c>
      <c r="D51" s="13">
        <f>COUNTIF(G51:U51,"✅")</f>
        <v/>
      </c>
      <c r="E51" s="13">
        <f>COUNTIF(G51:U51,"△")</f>
        <v/>
      </c>
      <c r="F51" s="13" t="inlineStr">
        <is>
          <t>△</t>
        </is>
      </c>
      <c r="G51" s="13" t="inlineStr">
        <is>
          <t>✅</t>
        </is>
      </c>
      <c r="H51" s="13" t="inlineStr">
        <is>
          <t>△</t>
        </is>
      </c>
      <c r="I51" s="13" t="inlineStr">
        <is>
          <t>△</t>
        </is>
      </c>
      <c r="J51" s="13" t="inlineStr">
        <is>
          <t>？</t>
        </is>
      </c>
      <c r="K51" s="13" t="inlineStr">
        <is>
          <t>△</t>
        </is>
      </c>
      <c r="L51" s="13" t="inlineStr">
        <is>
          <t>？</t>
        </is>
      </c>
      <c r="M51" s="13" t="inlineStr">
        <is>
          <t>△</t>
        </is>
      </c>
      <c r="N51" s="13" t="inlineStr">
        <is>
          <t>✅</t>
        </is>
      </c>
      <c r="O51" s="13" t="inlineStr">
        <is>
          <t>△</t>
        </is>
      </c>
      <c r="P51" s="13" t="inlineStr">
        <is>
          <t>△</t>
        </is>
      </c>
      <c r="Q51" s="13" t="inlineStr">
        <is>
          <t>✅</t>
        </is>
      </c>
      <c r="R51" s="13" t="inlineStr">
        <is>
          <t>？</t>
        </is>
      </c>
      <c r="S51" s="13" t="inlineStr">
        <is>
          <t>△</t>
        </is>
      </c>
      <c r="T51" s="13" t="inlineStr">
        <is>
          <t>△</t>
        </is>
      </c>
      <c r="U51" s="13" t="inlineStr">
        <is>
          <t>？</t>
        </is>
      </c>
    </row>
    <row r="52">
      <c r="A52" s="12" t="inlineStr">
        <is>
          <t>AC08</t>
        </is>
      </c>
      <c r="B52" s="12" t="inlineStr">
        <is>
          <t>AC 主催者獲得の仕組み(供給側)</t>
        </is>
      </c>
      <c r="C52" s="12" t="inlineStr">
        <is>
          <t>運営主催・公式イベント</t>
        </is>
      </c>
      <c r="D52" s="13">
        <f>COUNTIF(G52:U52,"✅")</f>
        <v/>
      </c>
      <c r="E52" s="13">
        <f>COUNTIF(G52:U52,"△")</f>
        <v/>
      </c>
      <c r="F52" s="13" t="inlineStr">
        <is>
          <t>？</t>
        </is>
      </c>
      <c r="G52" s="13" t="inlineStr">
        <is>
          <t>？</t>
        </is>
      </c>
      <c r="H52" s="13" t="inlineStr">
        <is>
          <t>？</t>
        </is>
      </c>
      <c r="I52" s="13" t="inlineStr">
        <is>
          <t>？</t>
        </is>
      </c>
      <c r="J52" s="13" t="inlineStr">
        <is>
          <t>？</t>
        </is>
      </c>
      <c r="K52" s="13" t="inlineStr">
        <is>
          <t>？</t>
        </is>
      </c>
      <c r="L52" s="13" t="inlineStr">
        <is>
          <t>？</t>
        </is>
      </c>
      <c r="M52" s="13" t="inlineStr">
        <is>
          <t>？</t>
        </is>
      </c>
      <c r="N52" s="13" t="inlineStr">
        <is>
          <t>✅</t>
        </is>
      </c>
      <c r="O52" s="13" t="inlineStr">
        <is>
          <t>？</t>
        </is>
      </c>
      <c r="P52" s="13" t="inlineStr">
        <is>
          <t>✅</t>
        </is>
      </c>
      <c r="Q52" s="13" t="inlineStr">
        <is>
          <t>△</t>
        </is>
      </c>
      <c r="R52" s="13" t="inlineStr">
        <is>
          <t>✅</t>
        </is>
      </c>
      <c r="S52" s="13" t="inlineStr">
        <is>
          <t>✅</t>
        </is>
      </c>
      <c r="T52" s="13" t="inlineStr">
        <is>
          <t>？</t>
        </is>
      </c>
      <c r="U52" s="13" t="inlineStr">
        <is>
          <t>△</t>
        </is>
      </c>
    </row>
    <row r="53">
      <c r="A53" s="12" t="inlineStr">
        <is>
          <t>CR01</t>
        </is>
      </c>
      <c r="B53" s="12" t="inlineStr">
        <is>
          <t>CR 通知・CRM・継続</t>
        </is>
      </c>
      <c r="C53" s="12" t="inlineStr">
        <is>
          <t>ダイジェスト・おすすめ通知</t>
        </is>
      </c>
      <c r="D53" s="13">
        <f>COUNTIF(G53:U53,"✅")</f>
        <v/>
      </c>
      <c r="E53" s="13">
        <f>COUNTIF(G53:U53,"△")</f>
        <v/>
      </c>
      <c r="F53" s="13" t="inlineStr">
        <is>
          <t>✅</t>
        </is>
      </c>
      <c r="G53" s="13" t="inlineStr">
        <is>
          <t>✅</t>
        </is>
      </c>
      <c r="H53" s="13" t="inlineStr">
        <is>
          <t>✅</t>
        </is>
      </c>
      <c r="I53" s="13" t="inlineStr">
        <is>
          <t>✅</t>
        </is>
      </c>
      <c r="J53" s="13" t="inlineStr">
        <is>
          <t>❌</t>
        </is>
      </c>
      <c r="K53" s="13" t="inlineStr">
        <is>
          <t>✅</t>
        </is>
      </c>
      <c r="L53" s="13" t="inlineStr">
        <is>
          <t>？</t>
        </is>
      </c>
      <c r="M53" s="13" t="inlineStr">
        <is>
          <t>？</t>
        </is>
      </c>
      <c r="N53" s="13" t="inlineStr">
        <is>
          <t>✅</t>
        </is>
      </c>
      <c r="O53" s="13" t="inlineStr">
        <is>
          <t>△</t>
        </is>
      </c>
      <c r="P53" s="13" t="inlineStr">
        <is>
          <t>△</t>
        </is>
      </c>
      <c r="Q53" s="13" t="inlineStr">
        <is>
          <t>✅</t>
        </is>
      </c>
      <c r="R53" s="13" t="inlineStr">
        <is>
          <t>✅</t>
        </is>
      </c>
      <c r="S53" s="13" t="inlineStr">
        <is>
          <t>△</t>
        </is>
      </c>
      <c r="T53" s="13" t="inlineStr">
        <is>
          <t>？</t>
        </is>
      </c>
      <c r="U53" s="13" t="inlineStr">
        <is>
          <t>？</t>
        </is>
      </c>
    </row>
    <row r="54">
      <c r="A54" s="12" t="inlineStr">
        <is>
          <t>CR02</t>
        </is>
      </c>
      <c r="B54" s="12" t="inlineStr">
        <is>
          <t>CR 通知・CRM・継続</t>
        </is>
      </c>
      <c r="C54" s="12" t="inlineStr">
        <is>
          <t>自動メンバー化</t>
        </is>
      </c>
      <c r="D54" s="13">
        <f>COUNTIF(G54:U54,"✅")</f>
        <v/>
      </c>
      <c r="E54" s="13">
        <f>COUNTIF(G54:U54,"△")</f>
        <v/>
      </c>
      <c r="F54" s="13" t="inlineStr">
        <is>
          <t>✅</t>
        </is>
      </c>
      <c r="G54" s="13" t="inlineStr">
        <is>
          <t>？</t>
        </is>
      </c>
      <c r="H54" s="13" t="inlineStr">
        <is>
          <t>✅</t>
        </is>
      </c>
      <c r="I54" s="13" t="inlineStr">
        <is>
          <t>？</t>
        </is>
      </c>
      <c r="J54" s="13" t="inlineStr">
        <is>
          <t>？</t>
        </is>
      </c>
      <c r="K54" s="13" t="inlineStr">
        <is>
          <t>✅</t>
        </is>
      </c>
      <c r="L54" s="13" t="inlineStr">
        <is>
          <t>△</t>
        </is>
      </c>
      <c r="M54" s="13" t="inlineStr">
        <is>
          <t>✅</t>
        </is>
      </c>
      <c r="N54" s="13" t="inlineStr">
        <is>
          <t>✅</t>
        </is>
      </c>
      <c r="O54" s="13" t="inlineStr">
        <is>
          <t>✅</t>
        </is>
      </c>
      <c r="P54" s="13" t="inlineStr">
        <is>
          <t>✅</t>
        </is>
      </c>
      <c r="Q54" s="13" t="inlineStr">
        <is>
          <t>？</t>
        </is>
      </c>
      <c r="R54" s="13" t="inlineStr">
        <is>
          <t>✅</t>
        </is>
      </c>
      <c r="S54" s="13" t="inlineStr">
        <is>
          <t>△</t>
        </is>
      </c>
      <c r="T54" s="13" t="inlineStr">
        <is>
          <t>？</t>
        </is>
      </c>
      <c r="U54" s="13" t="inlineStr">
        <is>
          <t>？</t>
        </is>
      </c>
    </row>
    <row r="55">
      <c r="A55" s="12" t="inlineStr">
        <is>
          <t>CR03</t>
        </is>
      </c>
      <c r="B55" s="12" t="inlineStr">
        <is>
          <t>CR 通知・CRM・継続</t>
        </is>
      </c>
      <c r="C55" s="12" t="inlineStr">
        <is>
          <t>前回参加者への優先案内</t>
        </is>
      </c>
      <c r="D55" s="13">
        <f>COUNTIF(G55:U55,"✅")</f>
        <v/>
      </c>
      <c r="E55" s="13">
        <f>COUNTIF(G55:U55,"△")</f>
        <v/>
      </c>
      <c r="F55" s="13" t="inlineStr">
        <is>
          <t>△</t>
        </is>
      </c>
      <c r="G55" s="13" t="inlineStr">
        <is>
          <t>△</t>
        </is>
      </c>
      <c r="H55" s="13" t="inlineStr">
        <is>
          <t>△</t>
        </is>
      </c>
      <c r="I55" s="13" t="inlineStr">
        <is>
          <t>✅</t>
        </is>
      </c>
      <c r="J55" s="13" t="inlineStr">
        <is>
          <t>△</t>
        </is>
      </c>
      <c r="K55" s="13" t="inlineStr">
        <is>
          <t>△</t>
        </is>
      </c>
      <c r="L55" s="13" t="inlineStr">
        <is>
          <t>✅</t>
        </is>
      </c>
      <c r="M55" s="13" t="inlineStr">
        <is>
          <t>△</t>
        </is>
      </c>
      <c r="N55" s="13" t="inlineStr">
        <is>
          <t>？</t>
        </is>
      </c>
      <c r="O55" s="13" t="inlineStr">
        <is>
          <t>？</t>
        </is>
      </c>
      <c r="P55" s="13" t="inlineStr">
        <is>
          <t>△</t>
        </is>
      </c>
      <c r="Q55" s="13" t="inlineStr">
        <is>
          <t>△</t>
        </is>
      </c>
      <c r="R55" s="13" t="inlineStr">
        <is>
          <t>✅</t>
        </is>
      </c>
      <c r="S55" s="13" t="inlineStr">
        <is>
          <t>△</t>
        </is>
      </c>
      <c r="T55" s="13" t="inlineStr">
        <is>
          <t>？</t>
        </is>
      </c>
      <c r="U55" s="13" t="inlineStr">
        <is>
          <t>？</t>
        </is>
      </c>
    </row>
    <row r="56">
      <c r="A56" s="12" t="inlineStr">
        <is>
          <t>CR04</t>
        </is>
      </c>
      <c r="B56" s="12" t="inlineStr">
        <is>
          <t>CR 通知・CRM・継続</t>
        </is>
      </c>
      <c r="C56" s="12" t="inlineStr">
        <is>
          <t>主催者CRM・購読者リスト</t>
        </is>
      </c>
      <c r="D56" s="13">
        <f>COUNTIF(G56:U56,"✅")</f>
        <v/>
      </c>
      <c r="E56" s="13">
        <f>COUNTIF(G56:U56,"△")</f>
        <v/>
      </c>
      <c r="F56" s="13" t="inlineStr">
        <is>
          <t>✅</t>
        </is>
      </c>
      <c r="G56" s="13" t="inlineStr">
        <is>
          <t>✅</t>
        </is>
      </c>
      <c r="H56" s="13" t="inlineStr">
        <is>
          <t>✅</t>
        </is>
      </c>
      <c r="I56" s="13" t="inlineStr">
        <is>
          <t>△</t>
        </is>
      </c>
      <c r="J56" s="13" t="inlineStr">
        <is>
          <t>△</t>
        </is>
      </c>
      <c r="K56" s="13" t="inlineStr">
        <is>
          <t>✅</t>
        </is>
      </c>
      <c r="L56" s="13" t="inlineStr">
        <is>
          <t>△</t>
        </is>
      </c>
      <c r="M56" s="13" t="inlineStr">
        <is>
          <t>✅</t>
        </is>
      </c>
      <c r="N56" s="13" t="inlineStr">
        <is>
          <t>△</t>
        </is>
      </c>
      <c r="O56" s="13" t="inlineStr">
        <is>
          <t>✅</t>
        </is>
      </c>
      <c r="P56" s="13" t="inlineStr">
        <is>
          <t>△</t>
        </is>
      </c>
      <c r="Q56" s="13" t="inlineStr">
        <is>
          <t>△</t>
        </is>
      </c>
      <c r="R56" s="13" t="inlineStr">
        <is>
          <t>✅</t>
        </is>
      </c>
      <c r="S56" s="13" t="inlineStr">
        <is>
          <t>❌</t>
        </is>
      </c>
      <c r="T56" s="13" t="inlineStr">
        <is>
          <t>？</t>
        </is>
      </c>
      <c r="U56" s="13" t="inlineStr">
        <is>
          <t>？</t>
        </is>
      </c>
    </row>
    <row r="57">
      <c r="A57" s="12" t="inlineStr">
        <is>
          <t>CR05</t>
        </is>
      </c>
      <c r="B57" s="12" t="inlineStr">
        <is>
          <t>CR 通知・CRM・継続</t>
        </is>
      </c>
      <c r="C57" s="12" t="inlineStr">
        <is>
          <t>参加履歴・バッジ・実績</t>
        </is>
      </c>
      <c r="D57" s="13">
        <f>COUNTIF(G57:U57,"✅")</f>
        <v/>
      </c>
      <c r="E57" s="13">
        <f>COUNTIF(G57:U57,"△")</f>
        <v/>
      </c>
      <c r="F57" s="13" t="inlineStr">
        <is>
          <t>✅</t>
        </is>
      </c>
      <c r="G57" s="13" t="inlineStr">
        <is>
          <t>△</t>
        </is>
      </c>
      <c r="H57" s="13" t="inlineStr">
        <is>
          <t>✅</t>
        </is>
      </c>
      <c r="I57" s="13" t="inlineStr">
        <is>
          <t>？</t>
        </is>
      </c>
      <c r="J57" s="13" t="inlineStr">
        <is>
          <t>？</t>
        </is>
      </c>
      <c r="K57" s="13" t="inlineStr">
        <is>
          <t>△</t>
        </is>
      </c>
      <c r="L57" s="13" t="inlineStr">
        <is>
          <t>△</t>
        </is>
      </c>
      <c r="M57" s="13" t="inlineStr">
        <is>
          <t>△</t>
        </is>
      </c>
      <c r="N57" s="13" t="inlineStr">
        <is>
          <t>？</t>
        </is>
      </c>
      <c r="O57" s="13" t="inlineStr">
        <is>
          <t>？</t>
        </is>
      </c>
      <c r="P57" s="13" t="inlineStr">
        <is>
          <t>△</t>
        </is>
      </c>
      <c r="Q57" s="13" t="inlineStr">
        <is>
          <t>△</t>
        </is>
      </c>
      <c r="R57" s="13" t="inlineStr">
        <is>
          <t>✅</t>
        </is>
      </c>
      <c r="S57" s="13" t="inlineStr">
        <is>
          <t>△</t>
        </is>
      </c>
      <c r="T57" s="13" t="inlineStr">
        <is>
          <t>△</t>
        </is>
      </c>
      <c r="U57" s="13" t="inlineStr">
        <is>
          <t>？</t>
        </is>
      </c>
    </row>
    <row r="58">
      <c r="A58" s="12" t="inlineStr">
        <is>
          <t>CR06</t>
        </is>
      </c>
      <c r="B58" s="12" t="inlineStr">
        <is>
          <t>CR 通知・CRM・継続</t>
        </is>
      </c>
      <c r="C58" s="12" t="inlineStr">
        <is>
          <t>レビュー・評価</t>
        </is>
      </c>
      <c r="D58" s="13">
        <f>COUNTIF(G58:U58,"✅")</f>
        <v/>
      </c>
      <c r="E58" s="13">
        <f>COUNTIF(G58:U58,"△")</f>
        <v/>
      </c>
      <c r="F58" s="13" t="inlineStr">
        <is>
          <t>❌</t>
        </is>
      </c>
      <c r="G58" s="13" t="inlineStr">
        <is>
          <t>？</t>
        </is>
      </c>
      <c r="H58" s="13" t="inlineStr">
        <is>
          <t>✅</t>
        </is>
      </c>
      <c r="I58" s="13" t="inlineStr">
        <is>
          <t>？</t>
        </is>
      </c>
      <c r="J58" s="13" t="inlineStr">
        <is>
          <t>？</t>
        </is>
      </c>
      <c r="K58" s="13" t="inlineStr">
        <is>
          <t>△</t>
        </is>
      </c>
      <c r="L58" s="13" t="inlineStr">
        <is>
          <t>？</t>
        </is>
      </c>
      <c r="M58" s="13" t="inlineStr">
        <is>
          <t>？</t>
        </is>
      </c>
      <c r="N58" s="13" t="inlineStr">
        <is>
          <t>？</t>
        </is>
      </c>
      <c r="O58" s="13" t="inlineStr">
        <is>
          <t>？</t>
        </is>
      </c>
      <c r="P58" s="13" t="inlineStr">
        <is>
          <t>？</t>
        </is>
      </c>
      <c r="Q58" s="13" t="inlineStr">
        <is>
          <t>✅</t>
        </is>
      </c>
      <c r="R58" s="13" t="inlineStr">
        <is>
          <t>✅</t>
        </is>
      </c>
      <c r="S58" s="13" t="inlineStr">
        <is>
          <t>✅</t>
        </is>
      </c>
      <c r="T58" s="13" t="inlineStr">
        <is>
          <t>✅</t>
        </is>
      </c>
      <c r="U58" s="13" t="inlineStr">
        <is>
          <t>？</t>
        </is>
      </c>
    </row>
    <row r="59">
      <c r="A59" s="12" t="inlineStr">
        <is>
          <t>CR07</t>
        </is>
      </c>
      <c r="B59" s="12" t="inlineStr">
        <is>
          <t>CR 通知・CRM・継続</t>
        </is>
      </c>
      <c r="C59" s="12" t="inlineStr">
        <is>
          <t>グループチャット・掲示板</t>
        </is>
      </c>
      <c r="D59" s="13">
        <f>COUNTIF(G59:U59,"✅")</f>
        <v/>
      </c>
      <c r="E59" s="13">
        <f>COUNTIF(G59:U59,"△")</f>
        <v/>
      </c>
      <c r="F59" s="13" t="inlineStr">
        <is>
          <t>✅</t>
        </is>
      </c>
      <c r="G59" s="13" t="inlineStr">
        <is>
          <t>？</t>
        </is>
      </c>
      <c r="H59" s="13" t="inlineStr">
        <is>
          <t>✅</t>
        </is>
      </c>
      <c r="I59" s="13" t="inlineStr">
        <is>
          <t>△</t>
        </is>
      </c>
      <c r="J59" s="13" t="inlineStr">
        <is>
          <t>？</t>
        </is>
      </c>
      <c r="K59" s="13" t="inlineStr">
        <is>
          <t>✅</t>
        </is>
      </c>
      <c r="L59" s="13" t="inlineStr">
        <is>
          <t>✅</t>
        </is>
      </c>
      <c r="M59" s="13" t="inlineStr">
        <is>
          <t>△</t>
        </is>
      </c>
      <c r="N59" s="13" t="inlineStr">
        <is>
          <t>△</t>
        </is>
      </c>
      <c r="O59" s="13" t="inlineStr">
        <is>
          <t>✅</t>
        </is>
      </c>
      <c r="P59" s="13" t="inlineStr">
        <is>
          <t>✅</t>
        </is>
      </c>
      <c r="Q59" s="13" t="inlineStr">
        <is>
          <t>？</t>
        </is>
      </c>
      <c r="R59" s="13" t="inlineStr">
        <is>
          <t>✅</t>
        </is>
      </c>
      <c r="S59" s="13" t="inlineStr">
        <is>
          <t>✅</t>
        </is>
      </c>
      <c r="T59" s="13" t="inlineStr">
        <is>
          <t>✅</t>
        </is>
      </c>
      <c r="U59" s="13" t="inlineStr">
        <is>
          <t>✅</t>
        </is>
      </c>
    </row>
    <row r="60">
      <c r="A60" s="12" t="inlineStr">
        <is>
          <t>CR08</t>
        </is>
      </c>
      <c r="B60" s="12" t="inlineStr">
        <is>
          <t>CR 通知・CRM・継続</t>
        </is>
      </c>
      <c r="C60" s="12" t="inlineStr">
        <is>
          <t>年間まとめ・振り返り共有</t>
        </is>
      </c>
      <c r="D60" s="13">
        <f>COUNTIF(G60:U60,"✅")</f>
        <v/>
      </c>
      <c r="E60" s="13">
        <f>COUNTIF(G60:U60,"△")</f>
        <v/>
      </c>
      <c r="F60" s="13" t="inlineStr">
        <is>
          <t>❌</t>
        </is>
      </c>
      <c r="G60" s="13" t="inlineStr">
        <is>
          <t>？</t>
        </is>
      </c>
      <c r="H60" s="13" t="inlineStr">
        <is>
          <t>？</t>
        </is>
      </c>
      <c r="I60" s="13" t="inlineStr">
        <is>
          <t>？</t>
        </is>
      </c>
      <c r="J60" s="13" t="inlineStr">
        <is>
          <t>？</t>
        </is>
      </c>
      <c r="K60" s="13" t="inlineStr">
        <is>
          <t>？</t>
        </is>
      </c>
      <c r="L60" s="13" t="inlineStr">
        <is>
          <t>？</t>
        </is>
      </c>
      <c r="M60" s="13" t="inlineStr">
        <is>
          <t>？</t>
        </is>
      </c>
      <c r="N60" s="13" t="inlineStr">
        <is>
          <t>？</t>
        </is>
      </c>
      <c r="O60" s="13" t="inlineStr">
        <is>
          <t>？</t>
        </is>
      </c>
      <c r="P60" s="13" t="inlineStr">
        <is>
          <t>？</t>
        </is>
      </c>
      <c r="Q60" s="13" t="inlineStr">
        <is>
          <t>？</t>
        </is>
      </c>
      <c r="R60" s="13" t="inlineStr">
        <is>
          <t>？</t>
        </is>
      </c>
      <c r="S60" s="13" t="inlineStr">
        <is>
          <t>？</t>
        </is>
      </c>
      <c r="T60" s="13" t="inlineStr">
        <is>
          <t>？</t>
        </is>
      </c>
      <c r="U60" s="13" t="inlineStr">
        <is>
          <t>？</t>
        </is>
      </c>
    </row>
    <row r="61">
      <c r="A61" s="12" t="inlineStr">
        <is>
          <t>TS01</t>
        </is>
      </c>
      <c r="B61" s="12" t="inlineStr">
        <is>
          <t>TS 信頼・安全</t>
        </is>
      </c>
      <c r="C61" s="12" t="inlineStr">
        <is>
          <t>本人確認・認証</t>
        </is>
      </c>
      <c r="D61" s="13">
        <f>COUNTIF(G61:U61,"✅")</f>
        <v/>
      </c>
      <c r="E61" s="13">
        <f>COUNTIF(G61:U61,"△")</f>
        <v/>
      </c>
      <c r="F61" s="13" t="inlineStr">
        <is>
          <t>△</t>
        </is>
      </c>
      <c r="G61" s="13" t="inlineStr">
        <is>
          <t>△</t>
        </is>
      </c>
      <c r="H61" s="13" t="inlineStr">
        <is>
          <t>？</t>
        </is>
      </c>
      <c r="I61" s="13" t="inlineStr">
        <is>
          <t>✅</t>
        </is>
      </c>
      <c r="J61" s="13" t="inlineStr">
        <is>
          <t>？</t>
        </is>
      </c>
      <c r="K61" s="13" t="inlineStr">
        <is>
          <t>△</t>
        </is>
      </c>
      <c r="L61" s="13" t="inlineStr">
        <is>
          <t>✅</t>
        </is>
      </c>
      <c r="M61" s="13" t="inlineStr">
        <is>
          <t>✅</t>
        </is>
      </c>
      <c r="N61" s="13" t="inlineStr">
        <is>
          <t>？</t>
        </is>
      </c>
      <c r="O61" s="13" t="inlineStr">
        <is>
          <t>？</t>
        </is>
      </c>
      <c r="P61" s="13" t="inlineStr">
        <is>
          <t>△</t>
        </is>
      </c>
      <c r="Q61" s="13" t="inlineStr">
        <is>
          <t>✅</t>
        </is>
      </c>
      <c r="R61" s="13" t="inlineStr">
        <is>
          <t>✅</t>
        </is>
      </c>
      <c r="S61" s="13" t="inlineStr">
        <is>
          <t>✅</t>
        </is>
      </c>
      <c r="T61" s="13" t="inlineStr">
        <is>
          <t>✅</t>
        </is>
      </c>
      <c r="U61" s="13" t="inlineStr">
        <is>
          <t>△</t>
        </is>
      </c>
    </row>
    <row r="62">
      <c r="A62" s="12" t="inlineStr">
        <is>
          <t>TS02</t>
        </is>
      </c>
      <c r="B62" s="12" t="inlineStr">
        <is>
          <t>TS 信頼・安全</t>
        </is>
      </c>
      <c r="C62" s="12" t="inlineStr">
        <is>
          <t>主催者の審査・認定</t>
        </is>
      </c>
      <c r="D62" s="13">
        <f>COUNTIF(G62:U62,"✅")</f>
        <v/>
      </c>
      <c r="E62" s="13">
        <f>COUNTIF(G62:U62,"△")</f>
        <v/>
      </c>
      <c r="F62" s="13" t="inlineStr">
        <is>
          <t>✅</t>
        </is>
      </c>
      <c r="G62" s="13" t="inlineStr">
        <is>
          <t>✅</t>
        </is>
      </c>
      <c r="H62" s="13" t="inlineStr">
        <is>
          <t>✅</t>
        </is>
      </c>
      <c r="I62" s="13" t="inlineStr">
        <is>
          <t>？</t>
        </is>
      </c>
      <c r="J62" s="13" t="inlineStr">
        <is>
          <t>？</t>
        </is>
      </c>
      <c r="K62" s="13" t="inlineStr">
        <is>
          <t>△</t>
        </is>
      </c>
      <c r="L62" s="13" t="inlineStr">
        <is>
          <t>？</t>
        </is>
      </c>
      <c r="M62" s="13" t="inlineStr">
        <is>
          <t>✅</t>
        </is>
      </c>
      <c r="N62" s="13" t="inlineStr">
        <is>
          <t>△</t>
        </is>
      </c>
      <c r="O62" s="13" t="inlineStr">
        <is>
          <t>△</t>
        </is>
      </c>
      <c r="P62" s="13" t="inlineStr">
        <is>
          <t>△</t>
        </is>
      </c>
      <c r="Q62" s="13" t="inlineStr">
        <is>
          <t>△</t>
        </is>
      </c>
      <c r="R62" s="13" t="inlineStr">
        <is>
          <t>✅</t>
        </is>
      </c>
      <c r="S62" s="13" t="inlineStr">
        <is>
          <t>△</t>
        </is>
      </c>
      <c r="T62" s="13" t="inlineStr">
        <is>
          <t>✅</t>
        </is>
      </c>
      <c r="U62" s="13" t="inlineStr">
        <is>
          <t>？</t>
        </is>
      </c>
    </row>
    <row r="63">
      <c r="A63" s="12" t="inlineStr">
        <is>
          <t>TS03</t>
        </is>
      </c>
      <c r="B63" s="12" t="inlineStr">
        <is>
          <t>TS 信頼・安全</t>
        </is>
      </c>
      <c r="C63" s="12" t="inlineStr">
        <is>
          <t>通報・ブロック・モデレーション</t>
        </is>
      </c>
      <c r="D63" s="13">
        <f>COUNTIF(G63:U63,"✅")</f>
        <v/>
      </c>
      <c r="E63" s="13">
        <f>COUNTIF(G63:U63,"△")</f>
        <v/>
      </c>
      <c r="F63" s="13" t="inlineStr">
        <is>
          <t>△</t>
        </is>
      </c>
      <c r="G63" s="13" t="inlineStr">
        <is>
          <t>✅</t>
        </is>
      </c>
      <c r="H63" s="13" t="inlineStr">
        <is>
          <t>✅</t>
        </is>
      </c>
      <c r="I63" s="13" t="inlineStr">
        <is>
          <t>？</t>
        </is>
      </c>
      <c r="J63" s="13" t="inlineStr">
        <is>
          <t>？</t>
        </is>
      </c>
      <c r="K63" s="13" t="inlineStr">
        <is>
          <t>✅</t>
        </is>
      </c>
      <c r="L63" s="13" t="inlineStr">
        <is>
          <t>✅</t>
        </is>
      </c>
      <c r="M63" s="13" t="inlineStr">
        <is>
          <t>△</t>
        </is>
      </c>
      <c r="N63" s="13" t="inlineStr">
        <is>
          <t>△</t>
        </is>
      </c>
      <c r="O63" s="13" t="inlineStr">
        <is>
          <t>△</t>
        </is>
      </c>
      <c r="P63" s="13" t="inlineStr">
        <is>
          <t>✅</t>
        </is>
      </c>
      <c r="Q63" s="13" t="inlineStr">
        <is>
          <t>✅</t>
        </is>
      </c>
      <c r="R63" s="13" t="inlineStr">
        <is>
          <t>✅</t>
        </is>
      </c>
      <c r="S63" s="13" t="inlineStr">
        <is>
          <t>✅</t>
        </is>
      </c>
      <c r="T63" s="13" t="inlineStr">
        <is>
          <t>△</t>
        </is>
      </c>
      <c r="U63" s="13" t="inlineStr">
        <is>
          <t>？</t>
        </is>
      </c>
    </row>
    <row r="64">
      <c r="A64" s="12" t="inlineStr">
        <is>
          <t>TS04</t>
        </is>
      </c>
      <c r="B64" s="12" t="inlineStr">
        <is>
          <t>TS 信頼・安全</t>
        </is>
      </c>
      <c r="C64" s="12" t="inlineStr">
        <is>
          <t>ドタキャン対策</t>
        </is>
      </c>
      <c r="D64" s="13">
        <f>COUNTIF(G64:U64,"✅")</f>
        <v/>
      </c>
      <c r="E64" s="13">
        <f>COUNTIF(G64:U64,"△")</f>
        <v/>
      </c>
      <c r="F64" s="13" t="inlineStr">
        <is>
          <t>✅</t>
        </is>
      </c>
      <c r="G64" s="13" t="inlineStr">
        <is>
          <t>✅</t>
        </is>
      </c>
      <c r="H64" s="13" t="inlineStr">
        <is>
          <t>△</t>
        </is>
      </c>
      <c r="I64" s="13" t="inlineStr">
        <is>
          <t>✅</t>
        </is>
      </c>
      <c r="J64" s="13" t="inlineStr">
        <is>
          <t>✅</t>
        </is>
      </c>
      <c r="K64" s="13" t="inlineStr">
        <is>
          <t>✅</t>
        </is>
      </c>
      <c r="L64" s="13" t="inlineStr">
        <is>
          <t>△</t>
        </is>
      </c>
      <c r="M64" s="13" t="inlineStr">
        <is>
          <t>✅</t>
        </is>
      </c>
      <c r="N64" s="13" t="inlineStr">
        <is>
          <t>✅</t>
        </is>
      </c>
      <c r="O64" s="13" t="inlineStr">
        <is>
          <t>✅</t>
        </is>
      </c>
      <c r="P64" s="13" t="inlineStr">
        <is>
          <t>✅</t>
        </is>
      </c>
      <c r="Q64" s="13" t="inlineStr">
        <is>
          <t>✅</t>
        </is>
      </c>
      <c r="R64" s="13" t="inlineStr">
        <is>
          <t>✅</t>
        </is>
      </c>
      <c r="S64" s="13" t="inlineStr">
        <is>
          <t>△</t>
        </is>
      </c>
      <c r="T64" s="13" t="inlineStr">
        <is>
          <t>✅</t>
        </is>
      </c>
      <c r="U64" s="13" t="inlineStr">
        <is>
          <t>？</t>
        </is>
      </c>
    </row>
    <row r="65">
      <c r="A65" s="12" t="inlineStr">
        <is>
          <t>TS05</t>
        </is>
      </c>
      <c r="B65" s="12" t="inlineStr">
        <is>
          <t>TS 信頼・安全</t>
        </is>
      </c>
      <c r="C65" s="12" t="inlineStr">
        <is>
          <t>参加者情報の保護</t>
        </is>
      </c>
      <c r="D65" s="13">
        <f>COUNTIF(G65:U65,"✅")</f>
        <v/>
      </c>
      <c r="E65" s="13">
        <f>COUNTIF(G65:U65,"△")</f>
        <v/>
      </c>
      <c r="F65" s="13" t="inlineStr">
        <is>
          <t>✅</t>
        </is>
      </c>
      <c r="G65" s="13" t="inlineStr">
        <is>
          <t>？</t>
        </is>
      </c>
      <c r="H65" s="13" t="inlineStr">
        <is>
          <t>✅</t>
        </is>
      </c>
      <c r="I65" s="13" t="inlineStr">
        <is>
          <t>△</t>
        </is>
      </c>
      <c r="J65" s="13" t="inlineStr">
        <is>
          <t>？</t>
        </is>
      </c>
      <c r="K65" s="13" t="inlineStr">
        <is>
          <t>✅</t>
        </is>
      </c>
      <c r="L65" s="13" t="inlineStr">
        <is>
          <t>✅</t>
        </is>
      </c>
      <c r="M65" s="13" t="inlineStr">
        <is>
          <t>✅</t>
        </is>
      </c>
      <c r="N65" s="13" t="inlineStr">
        <is>
          <t>✅</t>
        </is>
      </c>
      <c r="O65" s="13" t="inlineStr">
        <is>
          <t>✅</t>
        </is>
      </c>
      <c r="P65" s="13" t="inlineStr">
        <is>
          <t>△</t>
        </is>
      </c>
      <c r="Q65" s="13" t="inlineStr">
        <is>
          <t>？</t>
        </is>
      </c>
      <c r="R65" s="13" t="inlineStr">
        <is>
          <t>△</t>
        </is>
      </c>
      <c r="S65" s="13" t="inlineStr">
        <is>
          <t>✅</t>
        </is>
      </c>
      <c r="T65" s="13" t="inlineStr">
        <is>
          <t>✅</t>
        </is>
      </c>
      <c r="U65" s="13" t="inlineStr">
        <is>
          <t>△</t>
        </is>
      </c>
    </row>
    <row r="66">
      <c r="A66" s="12" t="inlineStr">
        <is>
          <t>TS06</t>
        </is>
      </c>
      <c r="B66" s="12" t="inlineStr">
        <is>
          <t>TS 信頼・安全</t>
        </is>
      </c>
      <c r="C66" s="12" t="inlineStr">
        <is>
          <t>直接取引の抑止</t>
        </is>
      </c>
      <c r="D66" s="13">
        <f>COUNTIF(G66:U66,"✅")</f>
        <v/>
      </c>
      <c r="E66" s="13">
        <f>COUNTIF(G66:U66,"△")</f>
        <v/>
      </c>
      <c r="F66" s="13" t="inlineStr">
        <is>
          <t>❌</t>
        </is>
      </c>
      <c r="G66" s="13" t="inlineStr">
        <is>
          <t>△</t>
        </is>
      </c>
      <c r="H66" s="13" t="inlineStr">
        <is>
          <t>？</t>
        </is>
      </c>
      <c r="I66" s="13" t="inlineStr">
        <is>
          <t>△</t>
        </is>
      </c>
      <c r="J66" s="13" t="inlineStr">
        <is>
          <t>？</t>
        </is>
      </c>
      <c r="K66" s="13" t="inlineStr">
        <is>
          <t>△</t>
        </is>
      </c>
      <c r="L66" s="13" t="inlineStr">
        <is>
          <t>✅</t>
        </is>
      </c>
      <c r="M66" s="13" t="inlineStr">
        <is>
          <t>△</t>
        </is>
      </c>
      <c r="N66" s="13" t="inlineStr">
        <is>
          <t>？</t>
        </is>
      </c>
      <c r="O66" s="13" t="inlineStr">
        <is>
          <t>？</t>
        </is>
      </c>
      <c r="P66" s="13" t="inlineStr">
        <is>
          <t>❌</t>
        </is>
      </c>
      <c r="Q66" s="13" t="inlineStr">
        <is>
          <t>❌</t>
        </is>
      </c>
      <c r="R66" s="13" t="inlineStr">
        <is>
          <t>✅</t>
        </is>
      </c>
      <c r="S66" s="13" t="inlineStr">
        <is>
          <t>△</t>
        </is>
      </c>
      <c r="T66" s="13" t="inlineStr">
        <is>
          <t>✅</t>
        </is>
      </c>
      <c r="U66" s="13" t="inlineStr">
        <is>
          <t>？</t>
        </is>
      </c>
    </row>
    <row r="67">
      <c r="A67" s="12" t="inlineStr">
        <is>
          <t>FD01</t>
        </is>
      </c>
      <c r="B67" s="12" t="inlineStr">
        <is>
          <t>FD 食事・店舗連携(Shokujii の固有領域)</t>
        </is>
      </c>
      <c r="C67" s="12" t="inlineStr">
        <is>
          <t>メニューの事前注文・選択</t>
        </is>
      </c>
      <c r="D67" s="13">
        <f>COUNTIF(G67:U67,"✅")</f>
        <v/>
      </c>
      <c r="E67" s="13">
        <f>COUNTIF(G67:U67,"△")</f>
        <v/>
      </c>
      <c r="F67" s="13" t="inlineStr">
        <is>
          <t>✅</t>
        </is>
      </c>
      <c r="G67" s="13" t="inlineStr">
        <is>
          <t>△</t>
        </is>
      </c>
      <c r="H67" s="13" t="inlineStr">
        <is>
          <t>？</t>
        </is>
      </c>
      <c r="I67" s="13" t="inlineStr">
        <is>
          <t>△</t>
        </is>
      </c>
      <c r="J67" s="13" t="inlineStr">
        <is>
          <t>✅</t>
        </is>
      </c>
      <c r="K67" s="13" t="inlineStr">
        <is>
          <t>△</t>
        </is>
      </c>
      <c r="L67" s="13" t="inlineStr">
        <is>
          <t>△</t>
        </is>
      </c>
      <c r="M67" s="13" t="inlineStr">
        <is>
          <t>△</t>
        </is>
      </c>
      <c r="N67" s="13" t="inlineStr">
        <is>
          <t>△</t>
        </is>
      </c>
      <c r="O67" s="13" t="inlineStr">
        <is>
          <t>△</t>
        </is>
      </c>
      <c r="P67" s="13" t="inlineStr">
        <is>
          <t>？</t>
        </is>
      </c>
      <c r="Q67" s="13" t="inlineStr">
        <is>
          <t>△</t>
        </is>
      </c>
      <c r="R67" s="13" t="inlineStr">
        <is>
          <t>？</t>
        </is>
      </c>
      <c r="S67" s="13" t="inlineStr">
        <is>
          <t>❌</t>
        </is>
      </c>
      <c r="T67" s="13" t="inlineStr">
        <is>
          <t>？</t>
        </is>
      </c>
      <c r="U67" s="13" t="inlineStr">
        <is>
          <t>？</t>
        </is>
      </c>
    </row>
    <row r="68">
      <c r="A68" s="12" t="inlineStr">
        <is>
          <t>FD02</t>
        </is>
      </c>
      <c r="B68" s="12" t="inlineStr">
        <is>
          <t>FD 食事・店舗連携(Shokujii の固有領域)</t>
        </is>
      </c>
      <c r="C68" s="12" t="inlineStr">
        <is>
          <t>アレルギー・食の好みの登録</t>
        </is>
      </c>
      <c r="D68" s="13">
        <f>COUNTIF(G68:U68,"✅")</f>
        <v/>
      </c>
      <c r="E68" s="13">
        <f>COUNTIF(G68:U68,"△")</f>
        <v/>
      </c>
      <c r="F68" s="13" t="inlineStr">
        <is>
          <t>❌</t>
        </is>
      </c>
      <c r="G68" s="13" t="inlineStr">
        <is>
          <t>△</t>
        </is>
      </c>
      <c r="H68" s="13" t="inlineStr">
        <is>
          <t>△</t>
        </is>
      </c>
      <c r="I68" s="13" t="inlineStr">
        <is>
          <t>？</t>
        </is>
      </c>
      <c r="J68" s="13" t="inlineStr">
        <is>
          <t>△</t>
        </is>
      </c>
      <c r="K68" s="13" t="inlineStr">
        <is>
          <t>△</t>
        </is>
      </c>
      <c r="L68" s="13" t="inlineStr">
        <is>
          <t>△</t>
        </is>
      </c>
      <c r="M68" s="13" t="inlineStr">
        <is>
          <t>△</t>
        </is>
      </c>
      <c r="N68" s="13" t="inlineStr">
        <is>
          <t>△</t>
        </is>
      </c>
      <c r="O68" s="13" t="inlineStr">
        <is>
          <t>△</t>
        </is>
      </c>
      <c r="P68" s="13" t="inlineStr">
        <is>
          <t>△</t>
        </is>
      </c>
      <c r="Q68" s="13" t="inlineStr">
        <is>
          <t>△</t>
        </is>
      </c>
      <c r="R68" s="13" t="inlineStr">
        <is>
          <t>？</t>
        </is>
      </c>
      <c r="S68" s="13" t="inlineStr">
        <is>
          <t>△</t>
        </is>
      </c>
      <c r="T68" s="13" t="inlineStr">
        <is>
          <t>△</t>
        </is>
      </c>
      <c r="U68" s="13" t="inlineStr">
        <is>
          <t>？</t>
        </is>
      </c>
    </row>
    <row r="69">
      <c r="A69" s="12" t="inlineStr">
        <is>
          <t>FD03</t>
        </is>
      </c>
      <c r="B69" s="12" t="inlineStr">
        <is>
          <t>FD 食事・店舗連携(Shokujii の固有領域)</t>
        </is>
      </c>
      <c r="C69" s="12" t="inlineStr">
        <is>
          <t>店舗向け管理画面</t>
        </is>
      </c>
      <c r="D69" s="13">
        <f>COUNTIF(G69:U69,"✅")</f>
        <v/>
      </c>
      <c r="E69" s="13">
        <f>COUNTIF(G69:U69,"△")</f>
        <v/>
      </c>
      <c r="F69" s="13" t="inlineStr">
        <is>
          <t>✅</t>
        </is>
      </c>
      <c r="G69" s="13" t="inlineStr">
        <is>
          <t>△</t>
        </is>
      </c>
      <c r="H69" s="13" t="inlineStr">
        <is>
          <t>？</t>
        </is>
      </c>
      <c r="I69" s="13" t="inlineStr">
        <is>
          <t>△</t>
        </is>
      </c>
      <c r="J69" s="13" t="inlineStr">
        <is>
          <t>△</t>
        </is>
      </c>
      <c r="K69" s="13" t="inlineStr">
        <is>
          <t>？</t>
        </is>
      </c>
      <c r="L69" s="13" t="inlineStr">
        <is>
          <t>？</t>
        </is>
      </c>
      <c r="M69" s="13" t="inlineStr">
        <is>
          <t>？</t>
        </is>
      </c>
      <c r="N69" s="13" t="inlineStr">
        <is>
          <t>？</t>
        </is>
      </c>
      <c r="O69" s="13" t="inlineStr">
        <is>
          <t>？</t>
        </is>
      </c>
      <c r="P69" s="13" t="inlineStr">
        <is>
          <t>？</t>
        </is>
      </c>
      <c r="Q69" s="13" t="inlineStr">
        <is>
          <t>？</t>
        </is>
      </c>
      <c r="R69" s="13" t="inlineStr">
        <is>
          <t>？</t>
        </is>
      </c>
      <c r="S69" s="13" t="inlineStr">
        <is>
          <t>？</t>
        </is>
      </c>
      <c r="T69" s="13" t="inlineStr">
        <is>
          <t>△</t>
        </is>
      </c>
      <c r="U69" s="13" t="inlineStr">
        <is>
          <t>？</t>
        </is>
      </c>
    </row>
    <row r="70">
      <c r="A70" s="12" t="inlineStr">
        <is>
          <t>FD04</t>
        </is>
      </c>
      <c r="B70" s="12" t="inlineStr">
        <is>
          <t>FD 食事・店舗連携(Shokujii の固有領域)</t>
        </is>
      </c>
      <c r="C70" s="12" t="inlineStr">
        <is>
          <t>人数確定の店舗通知・集計</t>
        </is>
      </c>
      <c r="D70" s="13">
        <f>COUNTIF(G70:U70,"✅")</f>
        <v/>
      </c>
      <c r="E70" s="13">
        <f>COUNTIF(G70:U70,"△")</f>
        <v/>
      </c>
      <c r="F70" s="13" t="inlineStr">
        <is>
          <t>✅</t>
        </is>
      </c>
      <c r="G70" s="13" t="inlineStr">
        <is>
          <t>？</t>
        </is>
      </c>
      <c r="H70" s="13" t="inlineStr">
        <is>
          <t>？</t>
        </is>
      </c>
      <c r="I70" s="13" t="inlineStr">
        <is>
          <t>？</t>
        </is>
      </c>
      <c r="J70" s="13" t="inlineStr">
        <is>
          <t>？</t>
        </is>
      </c>
      <c r="K70" s="13" t="inlineStr">
        <is>
          <t>？</t>
        </is>
      </c>
      <c r="L70" s="13" t="inlineStr">
        <is>
          <t>？</t>
        </is>
      </c>
      <c r="M70" s="13" t="inlineStr">
        <is>
          <t>？</t>
        </is>
      </c>
      <c r="N70" s="13" t="inlineStr">
        <is>
          <t>？</t>
        </is>
      </c>
      <c r="O70" s="13" t="inlineStr">
        <is>
          <t>？</t>
        </is>
      </c>
      <c r="P70" s="13" t="inlineStr">
        <is>
          <t>？</t>
        </is>
      </c>
      <c r="Q70" s="13" t="inlineStr">
        <is>
          <t>？</t>
        </is>
      </c>
      <c r="R70" s="13" t="inlineStr">
        <is>
          <t>？</t>
        </is>
      </c>
      <c r="S70" s="13" t="inlineStr">
        <is>
          <t>△</t>
        </is>
      </c>
      <c r="T70" s="13" t="inlineStr">
        <is>
          <t>△</t>
        </is>
      </c>
      <c r="U70" s="13" t="inlineStr">
        <is>
          <t>？</t>
        </is>
      </c>
    </row>
    <row r="71">
      <c r="A71" s="12" t="inlineStr">
        <is>
          <t>FD05</t>
        </is>
      </c>
      <c r="B71" s="12" t="inlineStr">
        <is>
          <t>FD 食事・店舗連携(Shokujii の固有領域)</t>
        </is>
      </c>
      <c r="C71" s="12" t="inlineStr">
        <is>
          <t>席の確保・貸切の連携</t>
        </is>
      </c>
      <c r="D71" s="13">
        <f>COUNTIF(G71:U71,"✅")</f>
        <v/>
      </c>
      <c r="E71" s="13">
        <f>COUNTIF(G71:U71,"△")</f>
        <v/>
      </c>
      <c r="F71" s="13" t="inlineStr">
        <is>
          <t>△</t>
        </is>
      </c>
      <c r="G71" s="13" t="inlineStr">
        <is>
          <t>△</t>
        </is>
      </c>
      <c r="H71" s="13" t="inlineStr">
        <is>
          <t>？</t>
        </is>
      </c>
      <c r="I71" s="13" t="inlineStr">
        <is>
          <t>？</t>
        </is>
      </c>
      <c r="J71" s="13" t="inlineStr">
        <is>
          <t>△</t>
        </is>
      </c>
      <c r="K71" s="13" t="inlineStr">
        <is>
          <t>？</t>
        </is>
      </c>
      <c r="L71" s="13" t="inlineStr">
        <is>
          <t>？</t>
        </is>
      </c>
      <c r="M71" s="13" t="inlineStr">
        <is>
          <t>✅</t>
        </is>
      </c>
      <c r="N71" s="13" t="inlineStr">
        <is>
          <t>？</t>
        </is>
      </c>
      <c r="O71" s="13" t="inlineStr">
        <is>
          <t>？</t>
        </is>
      </c>
      <c r="P71" s="13" t="inlineStr">
        <is>
          <t>？</t>
        </is>
      </c>
      <c r="Q71" s="13" t="inlineStr">
        <is>
          <t>？</t>
        </is>
      </c>
      <c r="R71" s="13" t="inlineStr">
        <is>
          <t>？</t>
        </is>
      </c>
      <c r="S71" s="13" t="inlineStr">
        <is>
          <t>✅</t>
        </is>
      </c>
      <c r="T71" s="13" t="inlineStr">
        <is>
          <t>✅</t>
        </is>
      </c>
      <c r="U71" s="13" t="inlineStr">
        <is>
          <t>？</t>
        </is>
      </c>
    </row>
    <row r="72">
      <c r="A72" s="12" t="inlineStr">
        <is>
          <t>FD06</t>
        </is>
      </c>
      <c r="B72" s="12" t="inlineStr">
        <is>
          <t>FD 食事・店舗連携(Shokujii の固有領域)</t>
        </is>
      </c>
      <c r="C72" s="12" t="inlineStr">
        <is>
          <t>コース・固定メニュー</t>
        </is>
      </c>
      <c r="D72" s="13">
        <f>COUNTIF(G72:U72,"✅")</f>
        <v/>
      </c>
      <c r="E72" s="13">
        <f>COUNTIF(G72:U72,"△")</f>
        <v/>
      </c>
      <c r="F72" s="13" t="inlineStr">
        <is>
          <t>△</t>
        </is>
      </c>
      <c r="G72" s="13" t="inlineStr">
        <is>
          <t>？</t>
        </is>
      </c>
      <c r="H72" s="13" t="inlineStr">
        <is>
          <t>？</t>
        </is>
      </c>
      <c r="I72" s="13" t="inlineStr">
        <is>
          <t>？</t>
        </is>
      </c>
      <c r="J72" s="13" t="inlineStr">
        <is>
          <t>？</t>
        </is>
      </c>
      <c r="K72" s="13" t="inlineStr">
        <is>
          <t>？</t>
        </is>
      </c>
      <c r="L72" s="13" t="inlineStr">
        <is>
          <t>？</t>
        </is>
      </c>
      <c r="M72" s="13" t="inlineStr">
        <is>
          <t>△</t>
        </is>
      </c>
      <c r="N72" s="13" t="inlineStr">
        <is>
          <t>△</t>
        </is>
      </c>
      <c r="O72" s="13" t="inlineStr">
        <is>
          <t>△</t>
        </is>
      </c>
      <c r="P72" s="13" t="inlineStr">
        <is>
          <t>？</t>
        </is>
      </c>
      <c r="Q72" s="13" t="inlineStr">
        <is>
          <t>？</t>
        </is>
      </c>
      <c r="R72" s="13" t="inlineStr">
        <is>
          <t>？</t>
        </is>
      </c>
      <c r="S72" s="13" t="inlineStr">
        <is>
          <t>❌</t>
        </is>
      </c>
      <c r="T72" s="13" t="inlineStr">
        <is>
          <t>✅</t>
        </is>
      </c>
      <c r="U72" s="13" t="inlineStr">
        <is>
          <t>？</t>
        </is>
      </c>
    </row>
    <row r="73">
      <c r="A73" s="12" t="inlineStr">
        <is>
          <t>FD07</t>
        </is>
      </c>
      <c r="B73" s="12" t="inlineStr">
        <is>
          <t>FD 食事・店舗連携(Shokujii の固有領域)</t>
        </is>
      </c>
      <c r="C73" s="12" t="inlineStr">
        <is>
          <t>割り勘・個別会計</t>
        </is>
      </c>
      <c r="D73" s="13">
        <f>COUNTIF(G73:U73,"✅")</f>
        <v/>
      </c>
      <c r="E73" s="13">
        <f>COUNTIF(G73:U73,"△")</f>
        <v/>
      </c>
      <c r="F73" s="13" t="inlineStr">
        <is>
          <t>✅</t>
        </is>
      </c>
      <c r="G73" s="13" t="inlineStr">
        <is>
          <t>？</t>
        </is>
      </c>
      <c r="H73" s="13" t="inlineStr">
        <is>
          <t>？</t>
        </is>
      </c>
      <c r="I73" s="13" t="inlineStr">
        <is>
          <t>？</t>
        </is>
      </c>
      <c r="J73" s="13" t="inlineStr">
        <is>
          <t>？</t>
        </is>
      </c>
      <c r="K73" s="13" t="inlineStr">
        <is>
          <t>？</t>
        </is>
      </c>
      <c r="L73" s="13" t="inlineStr">
        <is>
          <t>△</t>
        </is>
      </c>
      <c r="M73" s="13" t="inlineStr">
        <is>
          <t>？</t>
        </is>
      </c>
      <c r="N73" s="13" t="inlineStr">
        <is>
          <t>？</t>
        </is>
      </c>
      <c r="O73" s="13" t="inlineStr">
        <is>
          <t>？</t>
        </is>
      </c>
      <c r="P73" s="13" t="inlineStr">
        <is>
          <t>？</t>
        </is>
      </c>
      <c r="Q73" s="13" t="inlineStr">
        <is>
          <t>？</t>
        </is>
      </c>
      <c r="R73" s="13" t="inlineStr">
        <is>
          <t>？</t>
        </is>
      </c>
      <c r="S73" s="13" t="inlineStr">
        <is>
          <t>△</t>
        </is>
      </c>
      <c r="T73" s="13" t="inlineStr">
        <is>
          <t>△</t>
        </is>
      </c>
      <c r="U73" s="13" t="inlineStr">
        <is>
          <t>？</t>
        </is>
      </c>
    </row>
    <row r="74">
      <c r="A74" s="12" t="inlineStr">
        <is>
          <t>FD08</t>
        </is>
      </c>
      <c r="B74" s="12" t="inlineStr">
        <is>
          <t>FD 食事・店舗連携(Shokujii の固有領域)</t>
        </is>
      </c>
      <c r="C74" s="12" t="inlineStr">
        <is>
          <t>店探し・店選び支援</t>
        </is>
      </c>
      <c r="D74" s="13">
        <f>COUNTIF(G74:U74,"✅")</f>
        <v/>
      </c>
      <c r="E74" s="13">
        <f>COUNTIF(G74:U74,"△")</f>
        <v/>
      </c>
      <c r="F74" s="13" t="inlineStr">
        <is>
          <t>✅</t>
        </is>
      </c>
      <c r="G74" s="13" t="inlineStr">
        <is>
          <t>？</t>
        </is>
      </c>
      <c r="H74" s="13" t="inlineStr">
        <is>
          <t>？</t>
        </is>
      </c>
      <c r="I74" s="13" t="inlineStr">
        <is>
          <t>？</t>
        </is>
      </c>
      <c r="J74" s="13" t="inlineStr">
        <is>
          <t>？</t>
        </is>
      </c>
      <c r="K74" s="13" t="inlineStr">
        <is>
          <t>？</t>
        </is>
      </c>
      <c r="L74" s="13" t="inlineStr">
        <is>
          <t>？</t>
        </is>
      </c>
      <c r="M74" s="13" t="inlineStr">
        <is>
          <t>？</t>
        </is>
      </c>
      <c r="N74" s="13" t="inlineStr">
        <is>
          <t>？</t>
        </is>
      </c>
      <c r="O74" s="13" t="inlineStr">
        <is>
          <t>△</t>
        </is>
      </c>
      <c r="P74" s="13" t="inlineStr">
        <is>
          <t>？</t>
        </is>
      </c>
      <c r="Q74" s="13" t="inlineStr">
        <is>
          <t>△</t>
        </is>
      </c>
      <c r="R74" s="13" t="inlineStr">
        <is>
          <t>△</t>
        </is>
      </c>
      <c r="S74" s="13" t="inlineStr">
        <is>
          <t>△</t>
        </is>
      </c>
      <c r="T74" s="13" t="inlineStr">
        <is>
          <t>✅</t>
        </is>
      </c>
      <c r="U74" s="13" t="inlineStr">
        <is>
          <t>？</t>
        </is>
      </c>
    </row>
    <row r="75">
      <c r="A75" s="12" t="inlineStr">
        <is>
          <t>FD09</t>
        </is>
      </c>
      <c r="B75" s="12" t="inlineStr">
        <is>
          <t>FD 食事・店舗連携(Shokujii の固有領域)</t>
        </is>
      </c>
      <c r="C75" s="12" t="inlineStr">
        <is>
          <t>売り切れ・限定数の管理</t>
        </is>
      </c>
      <c r="D75" s="13">
        <f>COUNTIF(G75:U75,"✅")</f>
        <v/>
      </c>
      <c r="E75" s="13">
        <f>COUNTIF(G75:U75,"△")</f>
        <v/>
      </c>
      <c r="F75" s="13" t="inlineStr">
        <is>
          <t>✅</t>
        </is>
      </c>
      <c r="G75" s="13" t="inlineStr">
        <is>
          <t>✅</t>
        </is>
      </c>
      <c r="H75" s="13" t="inlineStr">
        <is>
          <t>✅</t>
        </is>
      </c>
      <c r="I75" s="13" t="inlineStr">
        <is>
          <t>✅</t>
        </is>
      </c>
      <c r="J75" s="13" t="inlineStr">
        <is>
          <t>✅</t>
        </is>
      </c>
      <c r="K75" s="13" t="inlineStr">
        <is>
          <t>△</t>
        </is>
      </c>
      <c r="L75" s="13" t="inlineStr">
        <is>
          <t>△</t>
        </is>
      </c>
      <c r="M75" s="13" t="inlineStr">
        <is>
          <t>△</t>
        </is>
      </c>
      <c r="N75" s="13" t="inlineStr">
        <is>
          <t>△</t>
        </is>
      </c>
      <c r="O75" s="13" t="inlineStr">
        <is>
          <t>△</t>
        </is>
      </c>
      <c r="P75" s="13" t="inlineStr">
        <is>
          <t>？</t>
        </is>
      </c>
      <c r="Q75" s="13" t="inlineStr">
        <is>
          <t>？</t>
        </is>
      </c>
      <c r="R75" s="13" t="inlineStr">
        <is>
          <t>？</t>
        </is>
      </c>
      <c r="S75" s="13" t="inlineStr">
        <is>
          <t>？</t>
        </is>
      </c>
      <c r="T75" s="13" t="inlineStr">
        <is>
          <t>✅</t>
        </is>
      </c>
      <c r="U75" s="13" t="inlineStr">
        <is>
          <t>△</t>
        </is>
      </c>
    </row>
    <row r="76">
      <c r="A76" s="12" t="inlineStr">
        <is>
          <t>FD10</t>
        </is>
      </c>
      <c r="B76" s="12" t="inlineStr">
        <is>
          <t>FD 食事・店舗連携(Shokujii の固有領域)</t>
        </is>
      </c>
      <c r="C76" s="12" t="inlineStr">
        <is>
          <t>提供形態の選択</t>
        </is>
      </c>
      <c r="D76" s="13">
        <f>COUNTIF(G76:U76,"✅")</f>
        <v/>
      </c>
      <c r="E76" s="13">
        <f>COUNTIF(G76:U76,"△")</f>
        <v/>
      </c>
      <c r="F76" s="13" t="inlineStr">
        <is>
          <t>△</t>
        </is>
      </c>
      <c r="G76" s="13" t="inlineStr">
        <is>
          <t>？</t>
        </is>
      </c>
      <c r="H76" s="13" t="inlineStr">
        <is>
          <t>？</t>
        </is>
      </c>
      <c r="I76" s="13" t="inlineStr">
        <is>
          <t>？</t>
        </is>
      </c>
      <c r="J76" s="13" t="inlineStr">
        <is>
          <t>？</t>
        </is>
      </c>
      <c r="K76" s="13" t="inlineStr">
        <is>
          <t>？</t>
        </is>
      </c>
      <c r="L76" s="13" t="inlineStr">
        <is>
          <t>？</t>
        </is>
      </c>
      <c r="M76" s="13" t="inlineStr">
        <is>
          <t>？</t>
        </is>
      </c>
      <c r="N76" s="13" t="inlineStr">
        <is>
          <t>？</t>
        </is>
      </c>
      <c r="O76" s="13" t="inlineStr">
        <is>
          <t>？</t>
        </is>
      </c>
      <c r="P76" s="13" t="inlineStr">
        <is>
          <t>？</t>
        </is>
      </c>
      <c r="Q76" s="13" t="inlineStr">
        <is>
          <t>？</t>
        </is>
      </c>
      <c r="R76" s="13" t="inlineStr">
        <is>
          <t>？</t>
        </is>
      </c>
      <c r="S76" s="13" t="inlineStr">
        <is>
          <t>❌</t>
        </is>
      </c>
      <c r="T76" s="13" t="inlineStr">
        <is>
          <t>？</t>
        </is>
      </c>
      <c r="U76" s="13" t="inlineStr">
        <is>
          <t>？</t>
        </is>
      </c>
    </row>
    <row r="77">
      <c r="A77" s="12" t="inlineStr">
        <is>
          <t>MN01</t>
        </is>
      </c>
      <c r="B77" s="12" t="inlineStr">
        <is>
          <t>MN 収益化・価格</t>
        </is>
      </c>
      <c r="C77" s="12" t="inlineStr">
        <is>
          <t>手数料の明示</t>
        </is>
      </c>
      <c r="D77" s="13">
        <f>COUNTIF(G77:U77,"✅")</f>
        <v/>
      </c>
      <c r="E77" s="13">
        <f>COUNTIF(G77:U77,"△")</f>
        <v/>
      </c>
      <c r="F77" s="13" t="inlineStr">
        <is>
          <t>✅</t>
        </is>
      </c>
      <c r="G77" s="13" t="inlineStr">
        <is>
          <t>✅</t>
        </is>
      </c>
      <c r="H77" s="13" t="inlineStr">
        <is>
          <t>✅</t>
        </is>
      </c>
      <c r="I77" s="13" t="inlineStr">
        <is>
          <t>✅</t>
        </is>
      </c>
      <c r="J77" s="13" t="inlineStr">
        <is>
          <t>✅</t>
        </is>
      </c>
      <c r="K77" s="13" t="inlineStr">
        <is>
          <t>✅</t>
        </is>
      </c>
      <c r="L77" s="13" t="inlineStr">
        <is>
          <t>△</t>
        </is>
      </c>
      <c r="M77" s="13" t="inlineStr">
        <is>
          <t>✅</t>
        </is>
      </c>
      <c r="N77" s="13" t="inlineStr">
        <is>
          <t>✅</t>
        </is>
      </c>
      <c r="O77" s="13" t="inlineStr">
        <is>
          <t>✅</t>
        </is>
      </c>
      <c r="P77" s="13" t="inlineStr">
        <is>
          <t>✅</t>
        </is>
      </c>
      <c r="Q77" s="13" t="inlineStr">
        <is>
          <t>✅</t>
        </is>
      </c>
      <c r="R77" s="13" t="inlineStr">
        <is>
          <t>✅</t>
        </is>
      </c>
      <c r="S77" s="13" t="inlineStr">
        <is>
          <t>✅</t>
        </is>
      </c>
      <c r="T77" s="13" t="inlineStr">
        <is>
          <t>✅</t>
        </is>
      </c>
      <c r="U77" s="13" t="inlineStr">
        <is>
          <t>？</t>
        </is>
      </c>
    </row>
    <row r="78">
      <c r="A78" s="12" t="inlineStr">
        <is>
          <t>MN02</t>
        </is>
      </c>
      <c r="B78" s="12" t="inlineStr">
        <is>
          <t>MN 収益化・価格</t>
        </is>
      </c>
      <c r="C78" s="12" t="inlineStr">
        <is>
          <t>主催者向け有料プラン</t>
        </is>
      </c>
      <c r="D78" s="13">
        <f>COUNTIF(G78:U78,"✅")</f>
        <v/>
      </c>
      <c r="E78" s="13">
        <f>COUNTIF(G78:U78,"△")</f>
        <v/>
      </c>
      <c r="F78" s="13" t="inlineStr">
        <is>
          <t>△</t>
        </is>
      </c>
      <c r="G78" s="13" t="inlineStr">
        <is>
          <t>✅</t>
        </is>
      </c>
      <c r="H78" s="13" t="inlineStr">
        <is>
          <t>✅</t>
        </is>
      </c>
      <c r="I78" s="13" t="inlineStr">
        <is>
          <t>？</t>
        </is>
      </c>
      <c r="J78" s="13" t="inlineStr">
        <is>
          <t>❌</t>
        </is>
      </c>
      <c r="K78" s="13" t="inlineStr">
        <is>
          <t>✅</t>
        </is>
      </c>
      <c r="L78" s="13" t="inlineStr">
        <is>
          <t>△</t>
        </is>
      </c>
      <c r="M78" s="13" t="inlineStr">
        <is>
          <t>？</t>
        </is>
      </c>
      <c r="N78" s="13" t="inlineStr">
        <is>
          <t>❌</t>
        </is>
      </c>
      <c r="O78" s="13" t="inlineStr">
        <is>
          <t>✅</t>
        </is>
      </c>
      <c r="P78" s="13" t="inlineStr">
        <is>
          <t>△</t>
        </is>
      </c>
      <c r="Q78" s="13" t="inlineStr">
        <is>
          <t>✅</t>
        </is>
      </c>
      <c r="R78" s="13" t="inlineStr">
        <is>
          <t>❌</t>
        </is>
      </c>
      <c r="S78" s="13" t="inlineStr">
        <is>
          <t>❌</t>
        </is>
      </c>
      <c r="T78" s="13" t="inlineStr">
        <is>
          <t>❌</t>
        </is>
      </c>
      <c r="U78" s="13" t="inlineStr">
        <is>
          <t>？</t>
        </is>
      </c>
    </row>
    <row r="79">
      <c r="A79" s="12" t="inlineStr">
        <is>
          <t>MN03</t>
        </is>
      </c>
      <c r="B79" s="12" t="inlineStr">
        <is>
          <t>MN 収益化・価格</t>
        </is>
      </c>
      <c r="C79" s="12" t="inlineStr">
        <is>
          <t>任意チップ・寄付</t>
        </is>
      </c>
      <c r="D79" s="13">
        <f>COUNTIF(G79:U79,"✅")</f>
        <v/>
      </c>
      <c r="E79" s="13">
        <f>COUNTIF(G79:U79,"△")</f>
        <v/>
      </c>
      <c r="F79" s="13" t="inlineStr">
        <is>
          <t>❌</t>
        </is>
      </c>
      <c r="G79" s="13" t="inlineStr">
        <is>
          <t>△</t>
        </is>
      </c>
      <c r="H79" s="13" t="inlineStr">
        <is>
          <t>✅</t>
        </is>
      </c>
      <c r="I79" s="13" t="inlineStr">
        <is>
          <t>△</t>
        </is>
      </c>
      <c r="J79" s="13" t="inlineStr">
        <is>
          <t>✅</t>
        </is>
      </c>
      <c r="K79" s="13" t="inlineStr">
        <is>
          <t>△</t>
        </is>
      </c>
      <c r="L79" s="13" t="inlineStr">
        <is>
          <t>△</t>
        </is>
      </c>
      <c r="M79" s="13" t="inlineStr">
        <is>
          <t>？</t>
        </is>
      </c>
      <c r="N79" s="13" t="inlineStr">
        <is>
          <t>？</t>
        </is>
      </c>
      <c r="O79" s="13" t="inlineStr">
        <is>
          <t>△</t>
        </is>
      </c>
      <c r="P79" s="13" t="inlineStr">
        <is>
          <t>？</t>
        </is>
      </c>
      <c r="Q79" s="13" t="inlineStr">
        <is>
          <t>？</t>
        </is>
      </c>
      <c r="R79" s="13" t="inlineStr">
        <is>
          <t>？</t>
        </is>
      </c>
      <c r="S79" s="13" t="inlineStr">
        <is>
          <t>？</t>
        </is>
      </c>
      <c r="T79" s="13" t="inlineStr">
        <is>
          <t>？</t>
        </is>
      </c>
      <c r="U79" s="13" t="inlineStr">
        <is>
          <t>？</t>
        </is>
      </c>
    </row>
    <row r="80">
      <c r="A80" s="12" t="inlineStr">
        <is>
          <t>MN04</t>
        </is>
      </c>
      <c r="B80" s="12" t="inlineStr">
        <is>
          <t>MN 収益化・価格</t>
        </is>
      </c>
      <c r="C80" s="12" t="inlineStr">
        <is>
          <t>クーポン・割引コード</t>
        </is>
      </c>
      <c r="D80" s="13">
        <f>COUNTIF(G80:U80,"✅")</f>
        <v/>
      </c>
      <c r="E80" s="13">
        <f>COUNTIF(G80:U80,"△")</f>
        <v/>
      </c>
      <c r="F80" s="13" t="inlineStr">
        <is>
          <t>△</t>
        </is>
      </c>
      <c r="G80" s="13" t="inlineStr">
        <is>
          <t>✅</t>
        </is>
      </c>
      <c r="H80" s="13" t="inlineStr">
        <is>
          <t>？</t>
        </is>
      </c>
      <c r="I80" s="13" t="inlineStr">
        <is>
          <t>✅</t>
        </is>
      </c>
      <c r="J80" s="13" t="inlineStr">
        <is>
          <t>✅</t>
        </is>
      </c>
      <c r="K80" s="13" t="inlineStr">
        <is>
          <t>✅</t>
        </is>
      </c>
      <c r="L80" s="13" t="inlineStr">
        <is>
          <t>△</t>
        </is>
      </c>
      <c r="M80" s="13" t="inlineStr">
        <is>
          <t>✅</t>
        </is>
      </c>
      <c r="N80" s="13" t="inlineStr">
        <is>
          <t>✅</t>
        </is>
      </c>
      <c r="O80" s="13" t="inlineStr">
        <is>
          <t>✅</t>
        </is>
      </c>
      <c r="P80" s="13" t="inlineStr">
        <is>
          <t>△</t>
        </is>
      </c>
      <c r="Q80" s="13" t="inlineStr">
        <is>
          <t>△</t>
        </is>
      </c>
      <c r="R80" s="13" t="inlineStr">
        <is>
          <t>✅</t>
        </is>
      </c>
      <c r="S80" s="13" t="inlineStr">
        <is>
          <t>✅</t>
        </is>
      </c>
      <c r="T80" s="13" t="inlineStr">
        <is>
          <t>✅</t>
        </is>
      </c>
      <c r="U80" s="13" t="inlineStr">
        <is>
          <t>？</t>
        </is>
      </c>
    </row>
    <row r="81">
      <c r="A81" s="12" t="inlineStr">
        <is>
          <t>MN05</t>
        </is>
      </c>
      <c r="B81" s="12" t="inlineStr">
        <is>
          <t>MN 収益化・価格</t>
        </is>
      </c>
      <c r="C81" s="12" t="inlineStr">
        <is>
          <t>ポイント・会員特典</t>
        </is>
      </c>
      <c r="D81" s="13">
        <f>COUNTIF(G81:U81,"✅")</f>
        <v/>
      </c>
      <c r="E81" s="13">
        <f>COUNTIF(G81:U81,"△")</f>
        <v/>
      </c>
      <c r="F81" s="13" t="inlineStr">
        <is>
          <t>❌</t>
        </is>
      </c>
      <c r="G81" s="13" t="inlineStr">
        <is>
          <t>？</t>
        </is>
      </c>
      <c r="H81" s="13" t="inlineStr">
        <is>
          <t>✅</t>
        </is>
      </c>
      <c r="I81" s="13" t="inlineStr">
        <is>
          <t>△</t>
        </is>
      </c>
      <c r="J81" s="13" t="inlineStr">
        <is>
          <t>△</t>
        </is>
      </c>
      <c r="K81" s="13" t="inlineStr">
        <is>
          <t>△</t>
        </is>
      </c>
      <c r="L81" s="13" t="inlineStr">
        <is>
          <t>？</t>
        </is>
      </c>
      <c r="M81" s="13" t="inlineStr">
        <is>
          <t>△</t>
        </is>
      </c>
      <c r="N81" s="13" t="inlineStr">
        <is>
          <t>△</t>
        </is>
      </c>
      <c r="O81" s="13" t="inlineStr">
        <is>
          <t>△</t>
        </is>
      </c>
      <c r="P81" s="13" t="inlineStr">
        <is>
          <t>？</t>
        </is>
      </c>
      <c r="Q81" s="13" t="inlineStr">
        <is>
          <t>？</t>
        </is>
      </c>
      <c r="R81" s="13" t="inlineStr">
        <is>
          <t>✅</t>
        </is>
      </c>
      <c r="S81" s="13" t="inlineStr">
        <is>
          <t>△</t>
        </is>
      </c>
      <c r="T81" s="13" t="inlineStr">
        <is>
          <t>？</t>
        </is>
      </c>
      <c r="U81" s="13" t="inlineStr">
        <is>
          <t>？</t>
        </is>
      </c>
    </row>
    <row r="82">
      <c r="C82" s="14" t="inlineStr">
        <is>
          <t>集計(サービス別)</t>
        </is>
      </c>
    </row>
    <row r="83">
      <c r="C83" s="14" t="inlineStr">
        <is>
          <t>✅の数</t>
        </is>
      </c>
      <c r="F83" s="13">
        <f>COUNTIF(F5:F81,"✅")</f>
        <v/>
      </c>
      <c r="G83" s="13">
        <f>COUNTIF(G5:G81,"✅")</f>
        <v/>
      </c>
      <c r="H83" s="13">
        <f>COUNTIF(H5:H81,"✅")</f>
        <v/>
      </c>
      <c r="I83" s="13">
        <f>COUNTIF(I5:I81,"✅")</f>
        <v/>
      </c>
      <c r="J83" s="13">
        <f>COUNTIF(J5:J81,"✅")</f>
        <v/>
      </c>
      <c r="K83" s="13">
        <f>COUNTIF(K5:K81,"✅")</f>
        <v/>
      </c>
      <c r="L83" s="13">
        <f>COUNTIF(L5:L81,"✅")</f>
        <v/>
      </c>
      <c r="M83" s="13">
        <f>COUNTIF(M5:M81,"✅")</f>
        <v/>
      </c>
      <c r="N83" s="13">
        <f>COUNTIF(N5:N81,"✅")</f>
        <v/>
      </c>
      <c r="O83" s="13">
        <f>COUNTIF(O5:O81,"✅")</f>
        <v/>
      </c>
      <c r="P83" s="13">
        <f>COUNTIF(P5:P81,"✅")</f>
        <v/>
      </c>
      <c r="Q83" s="13">
        <f>COUNTIF(Q5:Q81,"✅")</f>
        <v/>
      </c>
      <c r="R83" s="13">
        <f>COUNTIF(R5:R81,"✅")</f>
        <v/>
      </c>
      <c r="S83" s="13">
        <f>COUNTIF(S5:S81,"✅")</f>
        <v/>
      </c>
      <c r="T83" s="13">
        <f>COUNTIF(T5:T81,"✅")</f>
        <v/>
      </c>
      <c r="U83" s="13">
        <f>COUNTIF(U5:U81,"✅")</f>
        <v/>
      </c>
    </row>
    <row r="84">
      <c r="C84" s="14" t="inlineStr">
        <is>
          <t>△の数</t>
        </is>
      </c>
      <c r="F84" s="13">
        <f>COUNTIF(F5:F81,"△")</f>
        <v/>
      </c>
      <c r="G84" s="13">
        <f>COUNTIF(G5:G81,"△")</f>
        <v/>
      </c>
      <c r="H84" s="13">
        <f>COUNTIF(H5:H81,"△")</f>
        <v/>
      </c>
      <c r="I84" s="13">
        <f>COUNTIF(I5:I81,"△")</f>
        <v/>
      </c>
      <c r="J84" s="13">
        <f>COUNTIF(J5:J81,"△")</f>
        <v/>
      </c>
      <c r="K84" s="13">
        <f>COUNTIF(K5:K81,"△")</f>
        <v/>
      </c>
      <c r="L84" s="13">
        <f>COUNTIF(L5:L81,"△")</f>
        <v/>
      </c>
      <c r="M84" s="13">
        <f>COUNTIF(M5:M81,"△")</f>
        <v/>
      </c>
      <c r="N84" s="13">
        <f>COUNTIF(N5:N81,"△")</f>
        <v/>
      </c>
      <c r="O84" s="13">
        <f>COUNTIF(O5:O81,"△")</f>
        <v/>
      </c>
      <c r="P84" s="13">
        <f>COUNTIF(P5:P81,"△")</f>
        <v/>
      </c>
      <c r="Q84" s="13">
        <f>COUNTIF(Q5:Q81,"△")</f>
        <v/>
      </c>
      <c r="R84" s="13">
        <f>COUNTIF(R5:R81,"△")</f>
        <v/>
      </c>
      <c r="S84" s="13">
        <f>COUNTIF(S5:S81,"△")</f>
        <v/>
      </c>
      <c r="T84" s="13">
        <f>COUNTIF(T5:T81,"△")</f>
        <v/>
      </c>
      <c r="U84" s="13">
        <f>COUNTIF(U5:U81,"△")</f>
        <v/>
      </c>
    </row>
    <row r="85">
      <c r="C85" s="14" t="inlineStr">
        <is>
          <t>❌の数</t>
        </is>
      </c>
      <c r="F85" s="13">
        <f>COUNTIF(F5:F81,"❌")</f>
        <v/>
      </c>
      <c r="G85" s="13">
        <f>COUNTIF(G5:G81,"❌")</f>
        <v/>
      </c>
      <c r="H85" s="13">
        <f>COUNTIF(H5:H81,"❌")</f>
        <v/>
      </c>
      <c r="I85" s="13">
        <f>COUNTIF(I5:I81,"❌")</f>
        <v/>
      </c>
      <c r="J85" s="13">
        <f>COUNTIF(J5:J81,"❌")</f>
        <v/>
      </c>
      <c r="K85" s="13">
        <f>COUNTIF(K5:K81,"❌")</f>
        <v/>
      </c>
      <c r="L85" s="13">
        <f>COUNTIF(L5:L81,"❌")</f>
        <v/>
      </c>
      <c r="M85" s="13">
        <f>COUNTIF(M5:M81,"❌")</f>
        <v/>
      </c>
      <c r="N85" s="13">
        <f>COUNTIF(N5:N81,"❌")</f>
        <v/>
      </c>
      <c r="O85" s="13">
        <f>COUNTIF(O5:O81,"❌")</f>
        <v/>
      </c>
      <c r="P85" s="13">
        <f>COUNTIF(P5:P81,"❌")</f>
        <v/>
      </c>
      <c r="Q85" s="13">
        <f>COUNTIF(Q5:Q81,"❌")</f>
        <v/>
      </c>
      <c r="R85" s="13">
        <f>COUNTIF(R5:R81,"❌")</f>
        <v/>
      </c>
      <c r="S85" s="13">
        <f>COUNTIF(S5:S81,"❌")</f>
        <v/>
      </c>
      <c r="T85" s="13">
        <f>COUNTIF(T5:T81,"❌")</f>
        <v/>
      </c>
      <c r="U85" s="13">
        <f>COUNTIF(U5:U81,"❌")</f>
        <v/>
      </c>
    </row>
    <row r="86">
      <c r="C86" s="14" t="inlineStr">
        <is>
          <t>？の数</t>
        </is>
      </c>
      <c r="F86" s="13">
        <f>COUNTIF(F5:F81,"？")</f>
        <v/>
      </c>
      <c r="G86" s="13">
        <f>COUNTIF(G5:G81,"？")</f>
        <v/>
      </c>
      <c r="H86" s="13">
        <f>COUNTIF(H5:H81,"？")</f>
        <v/>
      </c>
      <c r="I86" s="13">
        <f>COUNTIF(I5:I81,"？")</f>
        <v/>
      </c>
      <c r="J86" s="13">
        <f>COUNTIF(J5:J81,"？")</f>
        <v/>
      </c>
      <c r="K86" s="13">
        <f>COUNTIF(K5:K81,"？")</f>
        <v/>
      </c>
      <c r="L86" s="13">
        <f>COUNTIF(L5:L81,"？")</f>
        <v/>
      </c>
      <c r="M86" s="13">
        <f>COUNTIF(M5:M81,"？")</f>
        <v/>
      </c>
      <c r="N86" s="13">
        <f>COUNTIF(N5:N81,"？")</f>
        <v/>
      </c>
      <c r="O86" s="13">
        <f>COUNTIF(O5:O81,"？")</f>
        <v/>
      </c>
      <c r="P86" s="13">
        <f>COUNTIF(P5:P81,"？")</f>
        <v/>
      </c>
      <c r="Q86" s="13">
        <f>COUNTIF(Q5:Q81,"？")</f>
        <v/>
      </c>
      <c r="R86" s="13">
        <f>COUNTIF(R5:R81,"？")</f>
        <v/>
      </c>
      <c r="S86" s="13">
        <f>COUNTIF(S5:S81,"？")</f>
        <v/>
      </c>
      <c r="T86" s="13">
        <f>COUNTIF(T5:T81,"？")</f>
        <v/>
      </c>
      <c r="U86" s="13">
        <f>COUNTIF(U5:U81,"？")</f>
        <v/>
      </c>
    </row>
    <row r="87">
      <c r="C87" s="14" t="inlineStr">
        <is>
          <t>確認率(？以外の割合)</t>
        </is>
      </c>
      <c r="F87" s="15">
        <f>1-F86/COUNTA(F5:F81)</f>
        <v/>
      </c>
      <c r="G87" s="15">
        <f>1-G86/COUNTA(G5:G81)</f>
        <v/>
      </c>
      <c r="H87" s="15">
        <f>1-H86/COUNTA(H5:H81)</f>
        <v/>
      </c>
      <c r="I87" s="15">
        <f>1-I86/COUNTA(I5:I81)</f>
        <v/>
      </c>
      <c r="J87" s="15">
        <f>1-J86/COUNTA(J5:J81)</f>
        <v/>
      </c>
      <c r="K87" s="15">
        <f>1-K86/COUNTA(K5:K81)</f>
        <v/>
      </c>
      <c r="L87" s="15">
        <f>1-L86/COUNTA(L5:L81)</f>
        <v/>
      </c>
      <c r="M87" s="15">
        <f>1-M86/COUNTA(M5:M81)</f>
        <v/>
      </c>
      <c r="N87" s="15">
        <f>1-N86/COUNTA(N5:N81)</f>
        <v/>
      </c>
      <c r="O87" s="15">
        <f>1-O86/COUNTA(O5:O81)</f>
        <v/>
      </c>
      <c r="P87" s="15">
        <f>1-P86/COUNTA(P5:P81)</f>
        <v/>
      </c>
      <c r="Q87" s="15">
        <f>1-Q86/COUNTA(Q5:Q81)</f>
        <v/>
      </c>
      <c r="R87" s="15">
        <f>1-R86/COUNTA(R5:R81)</f>
        <v/>
      </c>
      <c r="S87" s="15">
        <f>1-S86/COUNTA(S5:S81)</f>
        <v/>
      </c>
      <c r="T87" s="15">
        <f>1-T86/COUNTA(T5:T81)</f>
        <v/>
      </c>
      <c r="U87" s="15">
        <f>1-U86/COUNTA(U5:U81)</f>
        <v/>
      </c>
    </row>
  </sheetData>
  <autoFilter ref="A4:U81"/>
  <conditionalFormatting sqref="F5:U81">
    <cfRule type="cellIs" priority="1" operator="equal" dxfId="0">
      <formula>"✅"</formula>
    </cfRule>
    <cfRule type="cellIs" priority="2" operator="equal" dxfId="1">
      <formula>"△"</formula>
    </cfRule>
    <cfRule type="cellIs" priority="3" operator="equal" dxfId="2">
      <formula>"❌"</formula>
    </cfRule>
    <cfRule type="cellIs" priority="4" operator="equal" dxfId="3">
      <formula>"？"</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8"/>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37.15" customWidth="1" min="2" max="2"/>
    <col width="38.1" customWidth="1" min="3" max="3"/>
    <col width="60" customWidth="1" min="4" max="4"/>
  </cols>
  <sheetData>
    <row r="1">
      <c r="A1" s="10" t="inlineStr">
        <is>
          <t>ID</t>
        </is>
      </c>
      <c r="B1" s="10" t="inlineStr">
        <is>
          <t>分類</t>
        </is>
      </c>
      <c r="C1" s="10" t="inlineStr">
        <is>
          <t>機能</t>
        </is>
      </c>
      <c r="D1" s="10" t="inlineStr">
        <is>
          <t>✅の条件</t>
        </is>
      </c>
    </row>
    <row r="2">
      <c r="A2" s="16" t="inlineStr">
        <is>
          <t>DS01</t>
        </is>
      </c>
      <c r="B2" s="16" t="inlineStr">
        <is>
          <t>キーワード・カテゴリ検索</t>
        </is>
      </c>
      <c r="C2" s="16" t="inlineStr">
        <is>
          <t>DS 発見・探索(参加者側の入口)</t>
        </is>
      </c>
      <c r="D2" s="16" t="inlineStr">
        <is>
          <t>イベントをキーワードまたはカテゴリで検索できる</t>
        </is>
      </c>
    </row>
    <row r="3">
      <c r="A3" s="16" t="inlineStr">
        <is>
          <t>DS02</t>
        </is>
      </c>
      <c r="B3" s="16" t="inlineStr">
        <is>
          <t>地域・地図検索</t>
        </is>
      </c>
      <c r="C3" s="16" t="inlineStr">
        <is>
          <t>DS 発見・探索(参加者側の入口)</t>
        </is>
      </c>
      <c r="D3" s="16" t="inlineStr">
        <is>
          <t>都市・駅・現在地・地図でイベントを絞り込める</t>
        </is>
      </c>
    </row>
    <row r="4">
      <c r="A4" s="16" t="inlineStr">
        <is>
          <t>DS03</t>
        </is>
      </c>
      <c r="B4" s="16" t="inlineStr">
        <is>
          <t>日付・価格等の絞り込み</t>
        </is>
      </c>
      <c r="C4" s="16" t="inlineStr">
        <is>
          <t>DS 発見・探索(参加者側の入口)</t>
        </is>
      </c>
      <c r="D4" s="16" t="inlineStr">
        <is>
          <t>日付、曜日、価格帯などで絞り込める</t>
        </is>
      </c>
    </row>
    <row r="5">
      <c r="A5" s="16" t="inlineStr">
        <is>
          <t>DS04</t>
        </is>
      </c>
      <c r="B5" s="16" t="inlineStr">
        <is>
          <t>パーソナライズ推薦</t>
        </is>
      </c>
      <c r="C5" s="16" t="inlineStr">
        <is>
          <t>DS 発見・探索(参加者側の入口)</t>
        </is>
      </c>
      <c r="D5" s="16" t="inlineStr">
        <is>
          <t>閲覧・参加履歴や興味に基づく推薦フィードがある</t>
        </is>
      </c>
    </row>
    <row r="6">
      <c r="A6" s="16" t="inlineStr">
        <is>
          <t>DS05</t>
        </is>
      </c>
      <c r="B6" s="16" t="inlineStr">
        <is>
          <t>フォロー</t>
        </is>
      </c>
      <c r="C6" s="16" t="inlineStr">
        <is>
          <t>DS 発見・探索(参加者側の入口)</t>
        </is>
      </c>
      <c r="D6" s="16" t="inlineStr">
        <is>
          <t>主催者・グループ・会場をフォローして新着を受け取れる</t>
        </is>
      </c>
    </row>
    <row r="7">
      <c r="A7" s="16" t="inlineStr">
        <is>
          <t>DS06</t>
        </is>
      </c>
      <c r="B7" s="16" t="inlineStr">
        <is>
          <t>ブックマーク・ウィッシュリスト</t>
        </is>
      </c>
      <c r="C7" s="16" t="inlineStr">
        <is>
          <t>DS 発見・探索(参加者側の入口)</t>
        </is>
      </c>
      <c r="D7" s="16" t="inlineStr">
        <is>
          <t>気になるイベントを保存できる</t>
        </is>
      </c>
    </row>
    <row r="8">
      <c r="A8" s="16" t="inlineStr">
        <is>
          <t>DS07</t>
        </is>
      </c>
      <c r="B8" s="16" t="inlineStr">
        <is>
          <t>公開ディレクトリ・都市×カテゴリページ</t>
        </is>
      </c>
      <c r="C8" s="16" t="inlineStr">
        <is>
          <t>DS 発見・探索(参加者側の入口)</t>
        </is>
      </c>
      <c r="D8" s="16" t="inlineStr">
        <is>
          <t>検索流入を受ける公開の一覧ページ(都市別、カテゴリ別等)がある</t>
        </is>
      </c>
    </row>
    <row r="9">
      <c r="A9" s="16" t="inlineStr">
        <is>
          <t>DS08</t>
        </is>
      </c>
      <c r="B9" s="16" t="inlineStr">
        <is>
          <t>キュレーション・特集</t>
        </is>
      </c>
      <c r="C9" s="16" t="inlineStr">
        <is>
          <t>DS 発見・探索(参加者側の入口)</t>
        </is>
      </c>
      <c r="D9" s="16" t="inlineStr">
        <is>
          <t>運営の手動選定・特集・ランキングなどの編集面がある</t>
        </is>
      </c>
    </row>
    <row r="10">
      <c r="A10" s="16" t="inlineStr">
        <is>
          <t>JN01</t>
        </is>
      </c>
      <c r="B10" s="16" t="inlineStr">
        <is>
          <t>アカウント不要の申込</t>
        </is>
      </c>
      <c r="C10" s="16" t="inlineStr">
        <is>
          <t>JN 申込・参加体験(参加者側)</t>
        </is>
      </c>
      <c r="D10" s="16" t="inlineStr">
        <is>
          <t>アカウントを作らずに(メール等のみで)申込・RSVP できる</t>
        </is>
      </c>
    </row>
    <row r="11">
      <c r="A11" s="16" t="inlineStr">
        <is>
          <t>JN02</t>
        </is>
      </c>
      <c r="B11" s="16" t="inlineStr">
        <is>
          <t>簡易ログイン</t>
        </is>
      </c>
      <c r="C11" s="16" t="inlineStr">
        <is>
          <t>JN 申込・参加体験(参加者側)</t>
        </is>
      </c>
      <c r="D11" s="16" t="inlineStr">
        <is>
          <t>SNS・電話番号・メールリンク等で簡単にログインできる</t>
        </is>
      </c>
    </row>
    <row r="12">
      <c r="A12" s="16" t="inlineStr">
        <is>
          <t>JN03</t>
        </is>
      </c>
      <c r="B12" s="16" t="inlineStr">
        <is>
          <t>承認制・参加申請</t>
        </is>
      </c>
      <c r="C12" s="16" t="inlineStr">
        <is>
          <t>JN 申込・参加体験(参加者側)</t>
        </is>
      </c>
      <c r="D12" s="16" t="inlineStr">
        <is>
          <t>主催者が参加可否を承認できる</t>
        </is>
      </c>
    </row>
    <row r="13">
      <c r="A13" s="16" t="inlineStr">
        <is>
          <t>JN04</t>
        </is>
      </c>
      <c r="B13" s="16" t="inlineStr">
        <is>
          <t>ウェイトリスト</t>
        </is>
      </c>
      <c r="C13" s="16" t="inlineStr">
        <is>
          <t>JN 申込・参加体験(参加者側)</t>
        </is>
      </c>
      <c r="D13" s="16" t="inlineStr">
        <is>
          <t>満席時にキャンセル待ちに登録できる</t>
        </is>
      </c>
    </row>
    <row r="14">
      <c r="A14" s="16" t="inlineStr">
        <is>
          <t>JN05</t>
        </is>
      </c>
      <c r="B14" s="16" t="inlineStr">
        <is>
          <t>定員・残席の表示</t>
        </is>
      </c>
      <c r="C14" s="16" t="inlineStr">
        <is>
          <t>JN 申込・参加体験(参加者側)</t>
        </is>
      </c>
      <c r="D14" s="16" t="inlineStr">
        <is>
          <t>定員や残席を参加者に表示できる</t>
        </is>
      </c>
    </row>
    <row r="15">
      <c r="A15" s="16" t="inlineStr">
        <is>
          <t>JN06</t>
        </is>
      </c>
      <c r="B15" s="16" t="inlineStr">
        <is>
          <t>追加質問・同行者の入力</t>
        </is>
      </c>
      <c r="C15" s="16" t="inlineStr">
        <is>
          <t>JN 申込・参加体験(参加者側)</t>
        </is>
      </c>
      <c r="D15" s="16" t="inlineStr">
        <is>
          <t>申込時に質問項目への回答や同行者の入力ができる</t>
        </is>
      </c>
    </row>
    <row r="16">
      <c r="A16" s="16" t="inlineStr">
        <is>
          <t>JN07</t>
        </is>
      </c>
      <c r="B16" s="16" t="inlineStr">
        <is>
          <t>参加者のセルフキャンセル</t>
        </is>
      </c>
      <c r="C16" s="16" t="inlineStr">
        <is>
          <t>JN 申込・参加体験(参加者側)</t>
        </is>
      </c>
      <c r="D16" s="16" t="inlineStr">
        <is>
          <t>参加者が自分でキャンセル(返金申請を含む)できる</t>
        </is>
      </c>
    </row>
    <row r="17">
      <c r="A17" s="16" t="inlineStr">
        <is>
          <t>JN08</t>
        </is>
      </c>
      <c r="B17" s="16" t="inlineStr">
        <is>
          <t>カレンダー追加</t>
        </is>
      </c>
      <c r="C17" s="16" t="inlineStr">
        <is>
          <t>JN 申込・参加体験(参加者側)</t>
        </is>
      </c>
      <c r="D17" s="16" t="inlineStr">
        <is>
          <t>ICS・Google・Apple カレンダーへの追加、またはカレンダー購読ができる</t>
        </is>
      </c>
    </row>
    <row r="18">
      <c r="A18" s="16" t="inlineStr">
        <is>
          <t>JN09</t>
        </is>
      </c>
      <c r="B18" s="16" t="inlineStr">
        <is>
          <t>開催前リマインド</t>
        </is>
      </c>
      <c r="C18" s="16" t="inlineStr">
        <is>
          <t>JN 申込・参加体験(参加者側)</t>
        </is>
      </c>
      <c r="D18" s="16" t="inlineStr">
        <is>
          <t>開催前に自動でリマインドが届く(メール・プッシュ・LINE 等)</t>
        </is>
      </c>
    </row>
    <row r="19">
      <c r="A19" s="16" t="inlineStr">
        <is>
          <t>JN10</t>
        </is>
      </c>
      <c r="B19" s="16" t="inlineStr">
        <is>
          <t>QRチケット・当日受付</t>
        </is>
      </c>
      <c r="C19" s="16" t="inlineStr">
        <is>
          <t>JN 申込・参加体験(参加者側)</t>
        </is>
      </c>
      <c r="D19" s="16" t="inlineStr">
        <is>
          <t>QR 等のチケットで当日受付・チェックインできる</t>
        </is>
      </c>
    </row>
    <row r="20">
      <c r="A20" s="16" t="inlineStr">
        <is>
          <t>JN11</t>
        </is>
      </c>
      <c r="B20" s="16" t="inlineStr">
        <is>
          <t>参加者一覧の閲覧</t>
        </is>
      </c>
      <c r="C20" s="16" t="inlineStr">
        <is>
          <t>JN 申込・参加体験(参加者側)</t>
        </is>
      </c>
      <c r="D20" s="16" t="inlineStr">
        <is>
          <t>参加者が「誰が参加するか」を見られる</t>
        </is>
      </c>
    </row>
    <row r="21">
      <c r="A21" s="16" t="inlineStr">
        <is>
          <t>JN12</t>
        </is>
      </c>
      <c r="B21" s="16" t="inlineStr">
        <is>
          <t>イベント後の体験</t>
        </is>
      </c>
      <c r="C21" s="16" t="inlineStr">
        <is>
          <t>JN 申込・参加体験(参加者側)</t>
        </is>
      </c>
      <c r="D21" s="16" t="inlineStr">
        <is>
          <t>事後のレビュー、写真アルバム、事後メッセージなどがある</t>
        </is>
      </c>
    </row>
    <row r="22">
      <c r="A22" s="16" t="inlineStr">
        <is>
          <t>SH01</t>
        </is>
      </c>
      <c r="B22" s="16" t="inlineStr">
        <is>
          <t>共有用URL・OGPカード</t>
        </is>
      </c>
      <c r="C22" s="16" t="inlineStr">
        <is>
          <t>SH 共有・招待・バイラル</t>
        </is>
      </c>
      <c r="D22" s="16" t="inlineStr">
        <is>
          <t>共有すると画像付きカードで表示される公開URLがある</t>
        </is>
      </c>
    </row>
    <row r="23">
      <c r="A23" s="16" t="inlineStr">
        <is>
          <t>SH02</t>
        </is>
      </c>
      <c r="B23" s="16" t="inlineStr">
        <is>
          <t>SNS・メッセージ共有ボタン</t>
        </is>
      </c>
      <c r="C23" s="16" t="inlineStr">
        <is>
          <t>SH 共有・招待・バイラル</t>
        </is>
      </c>
      <c r="D23" s="16" t="inlineStr">
        <is>
          <t>LINE・X・WhatsApp・iMessage 等へ共有するボタンがある</t>
        </is>
      </c>
    </row>
    <row r="24">
      <c r="A24" s="16" t="inlineStr">
        <is>
          <t>SH03</t>
        </is>
      </c>
      <c r="B24" s="16" t="inlineStr">
        <is>
          <t>友人・同行者の招待導線</t>
        </is>
      </c>
      <c r="C24" s="16" t="inlineStr">
        <is>
          <t>SH 共有・招待・バイラル</t>
        </is>
      </c>
      <c r="D24" s="16" t="inlineStr">
        <is>
          <t>申込後や作成後に友人を招待する導線がある</t>
        </is>
      </c>
    </row>
    <row r="25">
      <c r="A25" s="16" t="inlineStr">
        <is>
          <t>SH04</t>
        </is>
      </c>
      <c r="B25" s="16" t="inlineStr">
        <is>
          <t>紹介リンク・紹介の可視化</t>
        </is>
      </c>
      <c r="C25" s="16" t="inlineStr">
        <is>
          <t>SH 共有・招待・バイラル</t>
        </is>
      </c>
      <c r="D25" s="16" t="inlineStr">
        <is>
          <t>誰が連れてきたかを追跡・表示できる(報酬の有無は問わない)</t>
        </is>
      </c>
    </row>
    <row r="26">
      <c r="A26" s="16" t="inlineStr">
        <is>
          <t>SH05</t>
        </is>
      </c>
      <c r="B26" s="16" t="inlineStr">
        <is>
          <t>連絡先・SNS連携で友人発見</t>
        </is>
      </c>
      <c r="C26" s="16" t="inlineStr">
        <is>
          <t>SH 共有・招待・バイラル</t>
        </is>
      </c>
      <c r="D26" s="16" t="inlineStr">
        <is>
          <t>連絡先や SNS の友人から招待・発見できる</t>
        </is>
      </c>
    </row>
    <row r="27">
      <c r="A27" s="16" t="inlineStr">
        <is>
          <t>SH06</t>
        </is>
      </c>
      <c r="B27" s="16" t="inlineStr">
        <is>
          <t>社会的証明の表示</t>
        </is>
      </c>
      <c r="C27" s="16" t="inlineStr">
        <is>
          <t>SH 共有・招待・バイラル</t>
        </is>
      </c>
      <c r="D27" s="16" t="inlineStr">
        <is>
          <t>参加者アバター・参加人数など、他者の参加を示す表示がある</t>
        </is>
      </c>
    </row>
    <row r="28">
      <c r="A28" s="16" t="inlineStr">
        <is>
          <t>SH07</t>
        </is>
      </c>
      <c r="B28" s="16" t="inlineStr">
        <is>
          <t>QR・短縮URL・チラシ生成</t>
        </is>
      </c>
      <c r="C28" s="16" t="inlineStr">
        <is>
          <t>SH 共有・招待・バイラル</t>
        </is>
      </c>
      <c r="D28" s="16" t="inlineStr">
        <is>
          <t>QR、短縮URL、チラシ/ポスター素材を生成できる</t>
        </is>
      </c>
    </row>
    <row r="29">
      <c r="A29" s="16" t="inlineStr">
        <is>
          <t>SH08</t>
        </is>
      </c>
      <c r="B29" s="16" t="inlineStr">
        <is>
          <t>埋め込みウィジェット</t>
        </is>
      </c>
      <c r="C29" s="16" t="inlineStr">
        <is>
          <t>SH 共有・招待・バイラル</t>
        </is>
      </c>
      <c r="D29" s="16" t="inlineStr">
        <is>
          <t>外部サイトにイベント一覧や申込ボタンを埋め込める</t>
        </is>
      </c>
    </row>
    <row r="30">
      <c r="A30" s="16" t="inlineStr">
        <is>
          <t>OP01</t>
        </is>
      </c>
      <c r="B30" s="16" t="inlineStr">
        <is>
          <t>簡単な作成</t>
        </is>
      </c>
      <c r="C30" s="16" t="inlineStr">
        <is>
          <t>OP 主催者の作成・運用</t>
        </is>
      </c>
      <c r="D30" s="16" t="inlineStr">
        <is>
          <t>1ページまたはテンプレートで短時間にイベントを作成できる</t>
        </is>
      </c>
    </row>
    <row r="31">
      <c r="A31" s="16" t="inlineStr">
        <is>
          <t>OP02</t>
        </is>
      </c>
      <c r="B31" s="16" t="inlineStr">
        <is>
          <t>コピー・繰り返し作成</t>
        </is>
      </c>
      <c r="C31" s="16" t="inlineStr">
        <is>
          <t>OP 主催者の作成・運用</t>
        </is>
      </c>
      <c r="D31" s="16" t="inlineStr">
        <is>
          <t>過去イベントの複製、定例・シリーズの作成ができる</t>
        </is>
      </c>
    </row>
    <row r="32">
      <c r="A32" s="16" t="inlineStr">
        <is>
          <t>OP03</t>
        </is>
      </c>
      <c r="B32" s="16" t="inlineStr">
        <is>
          <t>下書き・限定公開</t>
        </is>
      </c>
      <c r="C32" s="16" t="inlineStr">
        <is>
          <t>OP 主催者の作成・運用</t>
        </is>
      </c>
      <c r="D32" s="16" t="inlineStr">
        <is>
          <t>下書き保存、URL限定公開、非公開ができる</t>
        </is>
      </c>
    </row>
    <row r="33">
      <c r="A33" s="16" t="inlineStr">
        <is>
          <t>OP04</t>
        </is>
      </c>
      <c r="B33" s="16" t="inlineStr">
        <is>
          <t>AI作成支援</t>
        </is>
      </c>
      <c r="C33" s="16" t="inlineStr">
        <is>
          <t>OP 主催者の作成・運用</t>
        </is>
      </c>
      <c r="D33" s="16" t="inlineStr">
        <is>
          <t>文面・タイトル・画像などを AI で生成・補助できる</t>
        </is>
      </c>
    </row>
    <row r="34">
      <c r="A34" s="16" t="inlineStr">
        <is>
          <t>OP05</t>
        </is>
      </c>
      <c r="B34" s="16" t="inlineStr">
        <is>
          <t>共同主催・運営メンバー権限</t>
        </is>
      </c>
      <c r="C34" s="16" t="inlineStr">
        <is>
          <t>OP 主催者の作成・運用</t>
        </is>
      </c>
      <c r="D34" s="16" t="inlineStr">
        <is>
          <t>共同主催者や運営メンバーを追加し権限を分けられる</t>
        </is>
      </c>
    </row>
    <row r="35">
      <c r="A35" s="16" t="inlineStr">
        <is>
          <t>OP06</t>
        </is>
      </c>
      <c r="B35" s="16" t="inlineStr">
        <is>
          <t>参加者管理・名簿出力</t>
        </is>
      </c>
      <c r="C35" s="16" t="inlineStr">
        <is>
          <t>OP 主催者の作成・運用</t>
        </is>
      </c>
      <c r="D35" s="16" t="inlineStr">
        <is>
          <t>参加者名簿の管理と CSV 等の出力ができる</t>
        </is>
      </c>
    </row>
    <row r="36">
      <c r="A36" s="16" t="inlineStr">
        <is>
          <t>OP07</t>
        </is>
      </c>
      <c r="B36" s="16" t="inlineStr">
        <is>
          <t>一斉メッセージ</t>
        </is>
      </c>
      <c r="C36" s="16" t="inlineStr">
        <is>
          <t>OP 主催者の作成・運用</t>
        </is>
      </c>
      <c r="D36" s="16" t="inlineStr">
        <is>
          <t>参加者へ一斉にメール・プッシュ・LINE 等を送れる</t>
        </is>
      </c>
    </row>
    <row r="37">
      <c r="A37" s="16" t="inlineStr">
        <is>
          <t>OP08</t>
        </is>
      </c>
      <c r="B37" s="16" t="inlineStr">
        <is>
          <t>当日運営ツール</t>
        </is>
      </c>
      <c r="C37" s="16" t="inlineStr">
        <is>
          <t>OP 主催者の作成・運用</t>
        </is>
      </c>
      <c r="D37" s="16" t="inlineStr">
        <is>
          <t>受付アプリ、チェックイン、当日の名簿などがある</t>
        </is>
      </c>
    </row>
    <row r="38">
      <c r="A38" s="16" t="inlineStr">
        <is>
          <t>OP09</t>
        </is>
      </c>
      <c r="B38" s="16" t="inlineStr">
        <is>
          <t>売上・入金管理</t>
        </is>
      </c>
      <c r="C38" s="16" t="inlineStr">
        <is>
          <t>OP 主催者の作成・運用</t>
        </is>
      </c>
      <c r="D38" s="16" t="inlineStr">
        <is>
          <t>売上の確認と入金(即時入金・入金サイクル)の管理ができる</t>
        </is>
      </c>
    </row>
    <row r="39">
      <c r="A39" s="16" t="inlineStr">
        <is>
          <t>OP10</t>
        </is>
      </c>
      <c r="B39" s="16" t="inlineStr">
        <is>
          <t>流入・申込の分析</t>
        </is>
      </c>
      <c r="C39" s="16" t="inlineStr">
        <is>
          <t>OP 主催者の作成・運用</t>
        </is>
      </c>
      <c r="D39" s="16" t="inlineStr">
        <is>
          <t>閲覧→申込の分析、流入元・UTM の確認ができる</t>
        </is>
      </c>
    </row>
    <row r="40">
      <c r="A40" s="16" t="inlineStr">
        <is>
          <t>OP11</t>
        </is>
      </c>
      <c r="B40" s="16" t="inlineStr">
        <is>
          <t>主催者ページ・グループページ</t>
        </is>
      </c>
      <c r="C40" s="16" t="inlineStr">
        <is>
          <t>OP 主催者の作成・運用</t>
        </is>
      </c>
      <c r="D40" s="16" t="inlineStr">
        <is>
          <t>主催者やグループの公開ページ(過去イベント一覧等)がある</t>
        </is>
      </c>
    </row>
    <row r="41">
      <c r="A41" s="16" t="inlineStr">
        <is>
          <t>OP12</t>
        </is>
      </c>
      <c r="B41" s="16" t="inlineStr">
        <is>
          <t>外部ツール連携・API</t>
        </is>
      </c>
      <c r="C41" s="16" t="inlineStr">
        <is>
          <t>OP 主催者の作成・運用</t>
        </is>
      </c>
      <c r="D41" s="16" t="inlineStr">
        <is>
          <t>Zoom・Slack・Google カレンダー・Mailchimp・Webhook・API 等と連携できる</t>
        </is>
      </c>
    </row>
    <row r="42">
      <c r="A42" s="16" t="inlineStr">
        <is>
          <t>AC01</t>
        </is>
      </c>
      <c r="B42" s="16" t="inlineStr">
        <is>
          <t>無料イベントは無料</t>
        </is>
      </c>
      <c r="C42" s="16" t="inlineStr">
        <is>
          <t>AC 主催者獲得の仕組み(供給側)</t>
        </is>
      </c>
      <c r="D42" s="16" t="inlineStr">
        <is>
          <t>無料イベントの開催に主催者手数料・固定費がかからない</t>
        </is>
      </c>
    </row>
    <row r="43">
      <c r="A43" s="16" t="inlineStr">
        <is>
          <t>AC02</t>
        </is>
      </c>
      <c r="B43" s="16" t="inlineStr">
        <is>
          <t>手数料負担の選択</t>
        </is>
      </c>
      <c r="C43" s="16" t="inlineStr">
        <is>
          <t>AC 主催者獲得の仕組み(供給側)</t>
        </is>
      </c>
      <c r="D43" s="16" t="inlineStr">
        <is>
          <t>手数料を購入者負担/主催者負担から選べる</t>
        </is>
      </c>
    </row>
    <row r="44">
      <c r="A44" s="16" t="inlineStr">
        <is>
          <t>AC03</t>
        </is>
      </c>
      <c r="B44" s="16" t="inlineStr">
        <is>
          <t>参加者データの所有・出力</t>
        </is>
      </c>
      <c r="C44" s="16" t="inlineStr">
        <is>
          <t>AC 主催者獲得の仕組み(供給側)</t>
        </is>
      </c>
      <c r="D44" s="16" t="inlineStr">
        <is>
          <t>主催者が参加者のメール等を保有・エクスポートできる</t>
        </is>
      </c>
    </row>
    <row r="45">
      <c r="A45" s="16" t="inlineStr">
        <is>
          <t>AC04</t>
        </is>
      </c>
      <c r="B45" s="16" t="inlineStr">
        <is>
          <t>他サービスからの移行</t>
        </is>
      </c>
      <c r="C45" s="16" t="inlineStr">
        <is>
          <t>AC 主催者獲得の仕組み(供給側)</t>
        </is>
      </c>
      <c r="D45" s="16" t="inlineStr">
        <is>
          <t>他サービスの情報・参加者をインポート/移行する機能や支援がある</t>
        </is>
      </c>
    </row>
    <row r="46">
      <c r="A46" s="16" t="inlineStr">
        <is>
          <t>AC05</t>
        </is>
      </c>
      <c r="B46" s="16" t="inlineStr">
        <is>
          <t>主催者紹介・アンバサダー</t>
        </is>
      </c>
      <c r="C46" s="16" t="inlineStr">
        <is>
          <t>AC 主催者獲得の仕組み(供給側)</t>
        </is>
      </c>
      <c r="D46" s="16" t="inlineStr">
        <is>
          <t>主催者の紹介報酬、アフィリエイト、アンバサダー制度がある</t>
        </is>
      </c>
    </row>
    <row r="47">
      <c r="A47" s="16" t="inlineStr">
        <is>
          <t>AC06</t>
        </is>
      </c>
      <c r="B47" s="16" t="inlineStr">
        <is>
          <t>主催者向け教育・テンプレ</t>
        </is>
      </c>
      <c r="C47" s="16" t="inlineStr">
        <is>
          <t>AC 主催者獲得の仕組み(供給側)</t>
        </is>
      </c>
      <c r="D47" s="16" t="inlineStr">
        <is>
          <t>ガイド、事例、テンプレート、ウェビナー等の主催者向けコンテンツがある</t>
        </is>
      </c>
    </row>
    <row r="48">
      <c r="A48" s="16" t="inlineStr">
        <is>
          <t>AC07</t>
        </is>
      </c>
      <c r="B48" s="16" t="inlineStr">
        <is>
          <t>集客支援の商品</t>
        </is>
      </c>
      <c r="C48" s="16" t="inlineStr">
        <is>
          <t>AC 主催者獲得の仕組み(供給側)</t>
        </is>
      </c>
      <c r="D48" s="16" t="inlineStr">
        <is>
          <t>有料掲載、メール配信、広告、ブーストなどの集客支援がある</t>
        </is>
      </c>
    </row>
    <row r="49">
      <c r="A49" s="16" t="inlineStr">
        <is>
          <t>AC08</t>
        </is>
      </c>
      <c r="B49" s="16" t="inlineStr">
        <is>
          <t>運営主催・公式イベント</t>
        </is>
      </c>
      <c r="C49" s="16" t="inlineStr">
        <is>
          <t>AC 主催者獲得の仕組み(供給側)</t>
        </is>
      </c>
      <c r="D49" s="16" t="inlineStr">
        <is>
          <t>サービス運営自らがイベントを主催・共催している</t>
        </is>
      </c>
    </row>
    <row r="50">
      <c r="A50" s="16" t="inlineStr">
        <is>
          <t>CR01</t>
        </is>
      </c>
      <c r="B50" s="16" t="inlineStr">
        <is>
          <t>ダイジェスト・おすすめ通知</t>
        </is>
      </c>
      <c r="C50" s="16" t="inlineStr">
        <is>
          <t>CR 通知・CRM・継続</t>
        </is>
      </c>
      <c r="D50" s="16" t="inlineStr">
        <is>
          <t>新着・おすすめを定期的にメール/プッシュで届ける</t>
        </is>
      </c>
    </row>
    <row r="51">
      <c r="A51" s="16" t="inlineStr">
        <is>
          <t>CR02</t>
        </is>
      </c>
      <c r="B51" s="16" t="inlineStr">
        <is>
          <t>自動メンバー化</t>
        </is>
      </c>
      <c r="C51" s="16" t="inlineStr">
        <is>
          <t>CR 通知・CRM・継続</t>
        </is>
      </c>
      <c r="D51" s="16" t="inlineStr">
        <is>
          <t>参加者が自動でメンバー・フォロワーになり、次回の案内を受け取れる</t>
        </is>
      </c>
    </row>
    <row r="52">
      <c r="A52" s="16" t="inlineStr">
        <is>
          <t>CR03</t>
        </is>
      </c>
      <c r="B52" s="16" t="inlineStr">
        <is>
          <t>前回参加者への優先案内</t>
        </is>
      </c>
      <c r="C52" s="16" t="inlineStr">
        <is>
          <t>CR 通知・CRM・継続</t>
        </is>
      </c>
      <c r="D52" s="16" t="inlineStr">
        <is>
          <t>過去の参加者に先行・優先で案内できる</t>
        </is>
      </c>
    </row>
    <row r="53">
      <c r="A53" s="16" t="inlineStr">
        <is>
          <t>CR04</t>
        </is>
      </c>
      <c r="B53" s="16" t="inlineStr">
        <is>
          <t>主催者CRM・購読者リスト</t>
        </is>
      </c>
      <c r="C53" s="16" t="inlineStr">
        <is>
          <t>CR 通知・CRM・継続</t>
        </is>
      </c>
      <c r="D53" s="16" t="inlineStr">
        <is>
          <t>参加者・購読者を蓄積し、セグメントして配信できる</t>
        </is>
      </c>
    </row>
    <row r="54">
      <c r="A54" s="16" t="inlineStr">
        <is>
          <t>CR05</t>
        </is>
      </c>
      <c r="B54" s="16" t="inlineStr">
        <is>
          <t>参加履歴・バッジ・実績</t>
        </is>
      </c>
      <c r="C54" s="16" t="inlineStr">
        <is>
          <t>CR 通知・CRM・継続</t>
        </is>
      </c>
      <c r="D54" s="16" t="inlineStr">
        <is>
          <t>参加回数や実績の表示、バッジがある</t>
        </is>
      </c>
    </row>
    <row r="55">
      <c r="A55" s="16" t="inlineStr">
        <is>
          <t>CR06</t>
        </is>
      </c>
      <c r="B55" s="16" t="inlineStr">
        <is>
          <t>レビュー・評価</t>
        </is>
      </c>
      <c r="C55" s="16" t="inlineStr">
        <is>
          <t>CR 通知・CRM・継続</t>
        </is>
      </c>
      <c r="D55" s="16" t="inlineStr">
        <is>
          <t>主催者・参加者・店舗などへの評価・レビューがある</t>
        </is>
      </c>
    </row>
    <row r="56">
      <c r="A56" s="16" t="inlineStr">
        <is>
          <t>CR07</t>
        </is>
      </c>
      <c r="B56" s="16" t="inlineStr">
        <is>
          <t>グループチャット・掲示板</t>
        </is>
      </c>
      <c r="C56" s="16" t="inlineStr">
        <is>
          <t>CR 通知・CRM・継続</t>
        </is>
      </c>
      <c r="D56" s="16" t="inlineStr">
        <is>
          <t>参加者同士や主催者との会話の場がある</t>
        </is>
      </c>
    </row>
    <row r="57">
      <c r="A57" s="16" t="inlineStr">
        <is>
          <t>CR08</t>
        </is>
      </c>
      <c r="B57" s="16" t="inlineStr">
        <is>
          <t>年間まとめ・振り返り共有</t>
        </is>
      </c>
      <c r="C57" s="16" t="inlineStr">
        <is>
          <t>CR 通知・CRM・継続</t>
        </is>
      </c>
      <c r="D57" s="16" t="inlineStr">
        <is>
          <t>年間の振り返り(Wrapped 型)や思い出のシェアがある</t>
        </is>
      </c>
    </row>
    <row r="58">
      <c r="A58" s="16" t="inlineStr">
        <is>
          <t>TS01</t>
        </is>
      </c>
      <c r="B58" s="16" t="inlineStr">
        <is>
          <t>本人確認・認証</t>
        </is>
      </c>
      <c r="C58" s="16" t="inlineStr">
        <is>
          <t>TS 信頼・安全</t>
        </is>
      </c>
      <c r="D58" s="16" t="inlineStr">
        <is>
          <t>電話番号・ID・実名などで利用者の確認を行う</t>
        </is>
      </c>
    </row>
    <row r="59">
      <c r="A59" s="16" t="inlineStr">
        <is>
          <t>TS02</t>
        </is>
      </c>
      <c r="B59" s="16" t="inlineStr">
        <is>
          <t>主催者の審査・認定</t>
        </is>
      </c>
      <c r="C59" s="16" t="inlineStr">
        <is>
          <t>TS 信頼・安全</t>
        </is>
      </c>
      <c r="D59" s="16" t="inlineStr">
        <is>
          <t>主催者の審査、認定バッジ、段階的な権限付与がある</t>
        </is>
      </c>
    </row>
    <row r="60">
      <c r="A60" s="16" t="inlineStr">
        <is>
          <t>TS03</t>
        </is>
      </c>
      <c r="B60" s="16" t="inlineStr">
        <is>
          <t>通報・ブロック・モデレーション</t>
        </is>
      </c>
      <c r="C60" s="16" t="inlineStr">
        <is>
          <t>TS 信頼・安全</t>
        </is>
      </c>
      <c r="D60" s="16" t="inlineStr">
        <is>
          <t>通報、ブロック、運営による対処の仕組みがある</t>
        </is>
      </c>
    </row>
    <row r="61">
      <c r="A61" s="16" t="inlineStr">
        <is>
          <t>TS04</t>
        </is>
      </c>
      <c r="B61" s="16" t="inlineStr">
        <is>
          <t>ドタキャン対策</t>
        </is>
      </c>
      <c r="C61" s="16" t="inlineStr">
        <is>
          <t>TS 信頼・安全</t>
        </is>
      </c>
      <c r="D61" s="16" t="inlineStr">
        <is>
          <t>前払い、欠席料、キャンセルポリシー、デポジットなどがある</t>
        </is>
      </c>
    </row>
    <row r="62">
      <c r="A62" s="16" t="inlineStr">
        <is>
          <t>TS05</t>
        </is>
      </c>
      <c r="B62" s="16" t="inlineStr">
        <is>
          <t>参加者情報の保護</t>
        </is>
      </c>
      <c r="C62" s="16" t="inlineStr">
        <is>
          <t>TS 信頼・安全</t>
        </is>
      </c>
      <c r="D62" s="16" t="inlineStr">
        <is>
          <t>参加者一覧の限定公開、匿名・ぼかし表示などがある</t>
        </is>
      </c>
    </row>
    <row r="63">
      <c r="A63" s="16" t="inlineStr">
        <is>
          <t>TS06</t>
        </is>
      </c>
      <c r="B63" s="16" t="inlineStr">
        <is>
          <t>直接取引の抑止</t>
        </is>
      </c>
      <c r="C63" s="16" t="inlineStr">
        <is>
          <t>TS 信頼・安全</t>
        </is>
      </c>
      <c r="D63" s="16" t="inlineStr">
        <is>
          <t>外部誘導の禁止などの規約・仕組みで、プラットフォーム外取引を抑える</t>
        </is>
      </c>
    </row>
    <row r="64">
      <c r="A64" s="16" t="inlineStr">
        <is>
          <t>FD01</t>
        </is>
      </c>
      <c r="B64" s="16" t="inlineStr">
        <is>
          <t>メニューの事前注文・選択</t>
        </is>
      </c>
      <c r="C64" s="16" t="inlineStr">
        <is>
          <t>FD 食事・店舗連携(Shokujii の固有領域)</t>
        </is>
      </c>
      <c r="D64" s="16" t="inlineStr">
        <is>
          <t>申込時に料理・ドリンクを選べる(または注文できる)</t>
        </is>
      </c>
    </row>
    <row r="65">
      <c r="A65" s="16" t="inlineStr">
        <is>
          <t>FD02</t>
        </is>
      </c>
      <c r="B65" s="16" t="inlineStr">
        <is>
          <t>アレルギー・食の好みの登録</t>
        </is>
      </c>
      <c r="C65" s="16" t="inlineStr">
        <is>
          <t>FD 食事・店舗連携(Shokujii の固有領域)</t>
        </is>
      </c>
      <c r="D65" s="16" t="inlineStr">
        <is>
          <t>アレルギーや食の好みを登録し、主催者・店舗に共有できる</t>
        </is>
      </c>
    </row>
    <row r="66">
      <c r="A66" s="16" t="inlineStr">
        <is>
          <t>FD03</t>
        </is>
      </c>
      <c r="B66" s="16" t="inlineStr">
        <is>
          <t>店舗向け管理画面</t>
        </is>
      </c>
      <c r="C66" s="16" t="inlineStr">
        <is>
          <t>FD 食事・店舗連携(Shokujii の固有領域)</t>
        </is>
      </c>
      <c r="D66" s="16" t="inlineStr">
        <is>
          <t>店舗がイベント・注文・人数を管理する画面がある</t>
        </is>
      </c>
    </row>
    <row r="67">
      <c r="A67" s="16" t="inlineStr">
        <is>
          <t>FD04</t>
        </is>
      </c>
      <c r="B67" s="16" t="inlineStr">
        <is>
          <t>人数確定の店舗通知・集計</t>
        </is>
      </c>
      <c r="C67" s="16" t="inlineStr">
        <is>
          <t>FD 食事・店舗連携(Shokujii の固有領域)</t>
        </is>
      </c>
      <c r="D67" s="16" t="inlineStr">
        <is>
          <t>人数や注文を店舗へ自動通知し、仕込み数などを集計できる</t>
        </is>
      </c>
    </row>
    <row r="68">
      <c r="A68" s="16" t="inlineStr">
        <is>
          <t>FD05</t>
        </is>
      </c>
      <c r="B68" s="16" t="inlineStr">
        <is>
          <t>席の確保・貸切の連携</t>
        </is>
      </c>
      <c r="C68" s="16" t="inlineStr">
        <is>
          <t>FD 食事・店舗連携(Shokujii の固有領域)</t>
        </is>
      </c>
      <c r="D68" s="16" t="inlineStr">
        <is>
          <t>店舗の席・貸切の確保と連動する</t>
        </is>
      </c>
    </row>
    <row r="69">
      <c r="A69" s="16" t="inlineStr">
        <is>
          <t>FD06</t>
        </is>
      </c>
      <c r="B69" s="16" t="inlineStr">
        <is>
          <t>コース・固定メニュー</t>
        </is>
      </c>
      <c r="C69" s="16" t="inlineStr">
        <is>
          <t>FD 食事・店舗連携(Shokujii の固有領域)</t>
        </is>
      </c>
      <c r="D69" s="16" t="inlineStr">
        <is>
          <t>コースやプリフィクスなどの固定メニューを選べる</t>
        </is>
      </c>
    </row>
    <row r="70">
      <c r="A70" s="16" t="inlineStr">
        <is>
          <t>FD07</t>
        </is>
      </c>
      <c r="B70" s="16" t="inlineStr">
        <is>
          <t>割り勘・個別会計</t>
        </is>
      </c>
      <c r="C70" s="16" t="inlineStr">
        <is>
          <t>FD 食事・店舗連携(Shokujii の固有領域)</t>
        </is>
      </c>
      <c r="D70" s="16" t="inlineStr">
        <is>
          <t>参加者ごとの会計・割り勘・精算ができる</t>
        </is>
      </c>
    </row>
    <row r="71">
      <c r="A71" s="16" t="inlineStr">
        <is>
          <t>FD08</t>
        </is>
      </c>
      <c r="B71" s="16" t="inlineStr">
        <is>
          <t>店探し・店選び支援</t>
        </is>
      </c>
      <c r="C71" s="16" t="inlineStr">
        <is>
          <t>FD 食事・店舗連携(Shokujii の固有領域)</t>
        </is>
      </c>
      <c r="D71" s="16" t="inlineStr">
        <is>
          <t>幹事が店を探す・比較する・選ぶ支援がある</t>
        </is>
      </c>
    </row>
    <row r="72">
      <c r="A72" s="16" t="inlineStr">
        <is>
          <t>FD09</t>
        </is>
      </c>
      <c r="B72" s="16" t="inlineStr">
        <is>
          <t>売り切れ・限定数の管理</t>
        </is>
      </c>
      <c r="C72" s="16" t="inlineStr">
        <is>
          <t>FD 食事・店舗連携(Shokujii の固有領域)</t>
        </is>
      </c>
      <c r="D72" s="16" t="inlineStr">
        <is>
          <t>売り切れ、限定数、最大注文数などを管理できる</t>
        </is>
      </c>
    </row>
    <row r="73">
      <c r="A73" s="16" t="inlineStr">
        <is>
          <t>FD10</t>
        </is>
      </c>
      <c r="B73" s="16" t="inlineStr">
        <is>
          <t>提供形態の選択</t>
        </is>
      </c>
      <c r="C73" s="16" t="inlineStr">
        <is>
          <t>FD 食事・店舗連携(Shokujii の固有領域)</t>
        </is>
      </c>
      <c r="D73" s="16" t="inlineStr">
        <is>
          <t>イートイン・テイクアウト・デリバリー等を選べる</t>
        </is>
      </c>
    </row>
    <row r="74">
      <c r="A74" s="16" t="inlineStr">
        <is>
          <t>MN01</t>
        </is>
      </c>
      <c r="B74" s="16" t="inlineStr">
        <is>
          <t>手数料の明示</t>
        </is>
      </c>
      <c r="C74" s="16" t="inlineStr">
        <is>
          <t>MN 収益化・価格</t>
        </is>
      </c>
      <c r="D74" s="16" t="inlineStr">
        <is>
          <t>料率・固定額を公開している(総額表示を含む)</t>
        </is>
      </c>
    </row>
    <row r="75">
      <c r="A75" s="16" t="inlineStr">
        <is>
          <t>MN02</t>
        </is>
      </c>
      <c r="B75" s="16" t="inlineStr">
        <is>
          <t>主催者向け有料プラン</t>
        </is>
      </c>
      <c r="C75" s="16" t="inlineStr">
        <is>
          <t>MN 収益化・価格</t>
        </is>
      </c>
      <c r="D75" s="16" t="inlineStr">
        <is>
          <t>主催者向けのサブスク・有料プランがある</t>
        </is>
      </c>
    </row>
    <row r="76">
      <c r="A76" s="16" t="inlineStr">
        <is>
          <t>MN03</t>
        </is>
      </c>
      <c r="B76" s="16" t="inlineStr">
        <is>
          <t>任意チップ・寄付</t>
        </is>
      </c>
      <c r="C76" s="16" t="inlineStr">
        <is>
          <t>MN 収益化・価格</t>
        </is>
      </c>
      <c r="D76" s="16" t="inlineStr">
        <is>
          <t>参加者・購入者が任意のチップ・寄付を上乗せできる</t>
        </is>
      </c>
    </row>
    <row r="77">
      <c r="A77" s="16" t="inlineStr">
        <is>
          <t>MN04</t>
        </is>
      </c>
      <c r="B77" s="16" t="inlineStr">
        <is>
          <t>クーポン・割引コード</t>
        </is>
      </c>
      <c r="C77" s="16" t="inlineStr">
        <is>
          <t>MN 収益化・価格</t>
        </is>
      </c>
      <c r="D77" s="16" t="inlineStr">
        <is>
          <t>クーポン、割引コード、早割などを設定できる</t>
        </is>
      </c>
    </row>
    <row r="78">
      <c r="A78" s="16" t="inlineStr">
        <is>
          <t>MN05</t>
        </is>
      </c>
      <c r="B78" s="16" t="inlineStr">
        <is>
          <t>ポイント・会員特典</t>
        </is>
      </c>
      <c r="C78" s="16" t="inlineStr">
        <is>
          <t>MN 収益化・価格</t>
        </is>
      </c>
      <c r="D78" s="16" t="inlineStr">
        <is>
          <t>ポイント、ロイヤルティ、会員向けの特典がある</t>
        </is>
      </c>
    </row>
  </sheetData>
  <autoFilter ref="A1:D7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33"/>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7" customWidth="1" min="2" max="2"/>
    <col width="28" customWidth="1" min="3" max="3"/>
    <col width="7" customWidth="1" min="4" max="4"/>
    <col width="10" customWidth="1" min="5" max="5"/>
    <col width="50" customWidth="1" min="6" max="6"/>
    <col width="70" customWidth="1" min="7" max="7"/>
  </cols>
  <sheetData>
    <row r="1">
      <c r="A1" s="10" t="inlineStr">
        <is>
          <t>サービス</t>
        </is>
      </c>
      <c r="B1" s="10" t="inlineStr">
        <is>
          <t>ID</t>
        </is>
      </c>
      <c r="C1" s="10" t="inlineStr">
        <is>
          <t>機能</t>
        </is>
      </c>
      <c r="D1" s="10" t="inlineStr">
        <is>
          <t>判定</t>
        </is>
      </c>
      <c r="E1" s="10" t="inlineStr">
        <is>
          <t>根拠レベル</t>
        </is>
      </c>
      <c r="F1" s="10" t="inlineStr">
        <is>
          <t>根拠URL</t>
        </is>
      </c>
      <c r="G1" s="10" t="inlineStr">
        <is>
          <t>備考</t>
        </is>
      </c>
    </row>
    <row r="2">
      <c r="A2" s="16" t="inlineStr">
        <is>
          <t>Eventbrite</t>
        </is>
      </c>
      <c r="B2" s="16" t="inlineStr">
        <is>
          <t>DS01</t>
        </is>
      </c>
      <c r="C2" s="16" t="inlineStr">
        <is>
          <t>キーワード・カテゴリ検索</t>
        </is>
      </c>
      <c r="D2" s="13" t="inlineStr">
        <is>
          <t>✅</t>
        </is>
      </c>
      <c r="E2" s="16" t="inlineStr">
        <is>
          <t>実機</t>
        </is>
      </c>
      <c r="F2" s="17" t="inlineStr">
        <is>
          <t>https://www.eventbrite.com/d/ny--new-york/all-events/</t>
        </is>
      </c>
      <c r="G2" s="16" t="inlineStr">
        <is>
          <t>検索バーとカテゴリ(Business・Food &amp; Drink・Health・Music 等)で絞り込める(2026-10 実機)</t>
        </is>
      </c>
    </row>
    <row r="3">
      <c r="A3" s="16" t="inlineStr">
        <is>
          <t>Eventbrite</t>
        </is>
      </c>
      <c r="B3" s="16" t="inlineStr">
        <is>
          <t>DS02</t>
        </is>
      </c>
      <c r="C3" s="16" t="inlineStr">
        <is>
          <t>地域・地図検索</t>
        </is>
      </c>
      <c r="D3" s="13" t="inlineStr">
        <is>
          <t>✅</t>
        </is>
      </c>
      <c r="E3" s="16" t="inlineStr">
        <is>
          <t>実機</t>
        </is>
      </c>
      <c r="F3" s="17" t="inlineStr">
        <is>
          <t>https://www.eventbrite.com/d/ny--new-york/all-events/</t>
        </is>
      </c>
      <c r="G3" s="16" t="inlineStr">
        <is>
          <t>都市・地区(Neighborhood)で絞り込み、現在地/都市を選択できる。都市ページあり。イベントページに地図表示(Show map)</t>
        </is>
      </c>
    </row>
    <row r="4">
      <c r="A4" s="16" t="inlineStr">
        <is>
          <t>Eventbrite</t>
        </is>
      </c>
      <c r="B4" s="16" t="inlineStr">
        <is>
          <t>DS03</t>
        </is>
      </c>
      <c r="C4" s="16" t="inlineStr">
        <is>
          <t>日付・価格等の絞り込み</t>
        </is>
      </c>
      <c r="D4" s="13" t="inlineStr">
        <is>
          <t>✅</t>
        </is>
      </c>
      <c r="E4" s="16" t="inlineStr">
        <is>
          <t>実機</t>
        </is>
      </c>
      <c r="F4" s="17" t="inlineStr">
        <is>
          <t>https://www.eventbrite.com/d/ny--new-york/all-events/</t>
        </is>
      </c>
      <c r="G4" s="16" t="inlineStr">
        <is>
          <t>日付(Today・Tomorrow・This weekend・日付指定)、価格(Free/Paid)、形式、言語、通貨、「フォロー中の主催者のみ」で絞り込める</t>
        </is>
      </c>
    </row>
    <row r="5">
      <c r="A5" s="16" t="inlineStr">
        <is>
          <t>Eventbrite</t>
        </is>
      </c>
      <c r="B5" s="16" t="inlineStr">
        <is>
          <t>DS04</t>
        </is>
      </c>
      <c r="C5" s="16" t="inlineStr">
        <is>
          <t>パーソナライズ推薦</t>
        </is>
      </c>
      <c r="D5" s="13" t="inlineStr">
        <is>
          <t>✅</t>
        </is>
      </c>
      <c r="E5" s="16" t="inlineStr">
        <is>
          <t>公式</t>
        </is>
      </c>
      <c r="F5" s="17" t="inlineStr">
        <is>
          <t>https://www.eventbrite.com/d/ny--new-york/events/</t>
        </is>
      </c>
      <c r="G5" s="16" t="inlineStr">
        <is>
          <t>アプリで curated event recommendations(都市ページの記載)。グロース根拠あり(自社主張: ML推薦等で発見経由のチケット販売が前年比+10%[2024 Q4]、アプリ利用者はWebより購入確率3倍[2025 Q1])</t>
        </is>
      </c>
    </row>
    <row r="6">
      <c r="A6" s="16" t="inlineStr">
        <is>
          <t>Eventbrite</t>
        </is>
      </c>
      <c r="B6" s="16" t="inlineStr">
        <is>
          <t>DS05</t>
        </is>
      </c>
      <c r="C6" s="16" t="inlineStr">
        <is>
          <t>フォロー</t>
        </is>
      </c>
      <c r="D6" s="13" t="inlineStr">
        <is>
          <t>✅</t>
        </is>
      </c>
      <c r="E6" s="16" t="inlineStr">
        <is>
          <t>公式</t>
        </is>
      </c>
      <c r="F6" s="17" t="inlineStr">
        <is>
          <t>https://www.eventbrite.com/help/en-us/articles/161196/how-to-set-up-your-organizer-profile-page/</t>
        </is>
      </c>
      <c r="G6" s="16" t="inlineStr">
        <is>
          <t>主催者プロフィールをフォローすると公開時に通知される。検索に「フォロー中の主催者のみ」フィルタあり(実機)。フォロワー数を表示</t>
        </is>
      </c>
    </row>
    <row r="7">
      <c r="A7" s="16" t="inlineStr">
        <is>
          <t>Eventbrite</t>
        </is>
      </c>
      <c r="B7" s="16" t="inlineStr">
        <is>
          <t>DS06</t>
        </is>
      </c>
      <c r="C7" s="16" t="inlineStr">
        <is>
          <t>ブックマーク・ウィッシュリスト</t>
        </is>
      </c>
      <c r="D7" s="13" t="inlineStr">
        <is>
          <t>✅</t>
        </is>
      </c>
      <c r="E7" s="16" t="inlineStr">
        <is>
          <t>実機</t>
        </is>
      </c>
      <c r="F7" s="17" t="inlineStr">
        <is>
          <t>https://www.eventbrite.com/d/ny--new-york/events/</t>
        </is>
      </c>
      <c r="G7" s="16" t="inlineStr">
        <is>
          <t>各イベントカードに Save this event(保存)ボタンがある</t>
        </is>
      </c>
    </row>
    <row r="8">
      <c r="A8" s="16" t="inlineStr">
        <is>
          <t>Eventbrite</t>
        </is>
      </c>
      <c r="B8" s="16" t="inlineStr">
        <is>
          <t>DS07</t>
        </is>
      </c>
      <c r="C8" s="16" t="inlineStr">
        <is>
          <t>公開ディレクトリ・都市×カテゴリページ</t>
        </is>
      </c>
      <c r="D8" s="13" t="inlineStr">
        <is>
          <t>✅</t>
        </is>
      </c>
      <c r="E8" s="16" t="inlineStr">
        <is>
          <t>実機</t>
        </is>
      </c>
      <c r="F8" s="17" t="inlineStr">
        <is>
          <t>https://www.eventbrite.com/d/ny--new-york/events/</t>
        </is>
      </c>
      <c r="G8" s="16" t="inlineStr">
        <is>
          <t>都市別・カテゴリ別の公開ページ(/d/ny--new-york/events/ 等)と人気検索ワードのリンク群。グロース根拠あり(Google事例: 構造化データ導入後に検索流入が前年比約+100%上乗せ[他施策と切り分け不能]・発券の30%超がEventbrite発見経由[2022年])</t>
        </is>
      </c>
    </row>
    <row r="9">
      <c r="A9" s="16" t="inlineStr">
        <is>
          <t>Eventbrite</t>
        </is>
      </c>
      <c r="B9" s="16" t="inlineStr">
        <is>
          <t>DS08</t>
        </is>
      </c>
      <c r="C9" s="16" t="inlineStr">
        <is>
          <t>キュレーション・特集</t>
        </is>
      </c>
      <c r="D9" s="13" t="inlineStr">
        <is>
          <t>✅</t>
        </is>
      </c>
      <c r="E9" s="16" t="inlineStr">
        <is>
          <t>実機</t>
        </is>
      </c>
      <c r="F9" s="17" t="inlineStr">
        <is>
          <t>https://www.eventbrite.com/d/ny--new-york/events/</t>
        </is>
      </c>
      <c r="G9" s="16" t="inlineStr">
        <is>
          <t>Editor's Picks・Popular in 都市の編集面、Collections(関連イベントの集約ページ)、Top Organizer バッジ</t>
        </is>
      </c>
    </row>
    <row r="10">
      <c r="A10" s="16" t="inlineStr">
        <is>
          <t>Eventbrite</t>
        </is>
      </c>
      <c r="B10" s="16" t="inlineStr">
        <is>
          <t>JN01</t>
        </is>
      </c>
      <c r="C10" s="16" t="inlineStr">
        <is>
          <t>アカウント不要の申込</t>
        </is>
      </c>
      <c r="D10" s="13" t="inlineStr">
        <is>
          <t>✅</t>
        </is>
      </c>
      <c r="E10" s="16" t="inlineStr">
        <is>
          <t>公式</t>
        </is>
      </c>
      <c r="F10" s="17" t="inlineStr">
        <is>
          <t>https://www.eventbrite.com/help/en-us/articles/721549/can-i-get-a-refund/</t>
        </is>
      </c>
      <c r="G10" s="16" t="inlineStr">
        <is>
          <t>チケット購入時のメールでアカウントが自動作成される(事前登録不要)。飲食イベント向け公式ページに「チケットはリンクで届きログイン不要」の記載</t>
        </is>
      </c>
    </row>
    <row r="11">
      <c r="A11" s="16" t="inlineStr">
        <is>
          <t>Eventbrite</t>
        </is>
      </c>
      <c r="B11" s="16" t="inlineStr">
        <is>
          <t>JN02</t>
        </is>
      </c>
      <c r="C11" s="16" t="inlineStr">
        <is>
          <t>簡易ログイン</t>
        </is>
      </c>
      <c r="D11" s="13" t="inlineStr">
        <is>
          <t>✅</t>
        </is>
      </c>
      <c r="E11" s="16" t="inlineStr">
        <is>
          <t>実機</t>
        </is>
      </c>
      <c r="F11" s="17" t="inlineStr">
        <is>
          <t>https://www.eventbrite.com/signin/</t>
        </is>
      </c>
      <c r="G11" s="16" t="inlineStr">
        <is>
          <t>Apple・Google・Facebook でのサインインと、メール+ワンタイムパスワードを確認(2026-10)</t>
        </is>
      </c>
    </row>
    <row r="12">
      <c r="A12" s="16" t="inlineStr">
        <is>
          <t>Eventbrite</t>
        </is>
      </c>
      <c r="B12" s="16" t="inlineStr">
        <is>
          <t>JN03</t>
        </is>
      </c>
      <c r="C12" s="16" t="inlineStr">
        <is>
          <t>承認制・参加申請</t>
        </is>
      </c>
      <c r="D12" s="13" t="inlineStr">
        <is>
          <t>？</t>
        </is>
      </c>
      <c r="E12" s="16" t="inlineStr">
        <is>
          <t>なし</t>
        </is>
      </c>
      <c r="F12" s="16" t="inlineStr"/>
      <c r="G12" s="16" t="inlineStr">
        <is>
          <t>ヘルプ検索(approve registrations)で参加可否の承認制機能の記載を確認できず。承認ではなく自動登録防止の案内のみ</t>
        </is>
      </c>
    </row>
    <row r="13">
      <c r="A13" s="16" t="inlineStr">
        <is>
          <t>Eventbrite</t>
        </is>
      </c>
      <c r="B13" s="16" t="inlineStr">
        <is>
          <t>JN04</t>
        </is>
      </c>
      <c r="C13" s="16" t="inlineStr">
        <is>
          <t>ウェイトリスト</t>
        </is>
      </c>
      <c r="D13" s="13" t="inlineStr">
        <is>
          <t>✅</t>
        </is>
      </c>
      <c r="E13" s="16" t="inlineStr">
        <is>
          <t>公式</t>
        </is>
      </c>
      <c r="F13" s="17" t="inlineStr">
        <is>
          <t>https://www.eventbrite.com/help/en-us/articles/811539/how-to-set-up-an-event-waitlist/</t>
        </is>
      </c>
      <c r="G13" s="16" t="inlineStr">
        <is>
          <t>売り切れまたは定員到達で自動起動する Waitlist。登録上限・取得項目・クレーム期限・自動返信を設定可。指定席(Reserved Seating)のイベントでは使えない</t>
        </is>
      </c>
    </row>
    <row r="14">
      <c r="A14" s="16" t="inlineStr">
        <is>
          <t>Eventbrite</t>
        </is>
      </c>
      <c r="B14" s="16" t="inlineStr">
        <is>
          <t>JN05</t>
        </is>
      </c>
      <c r="C14" s="16" t="inlineStr">
        <is>
          <t>定員・残席の表示</t>
        </is>
      </c>
      <c r="D14" s="13" t="inlineStr">
        <is>
          <t>✅</t>
        </is>
      </c>
      <c r="E14" s="16" t="inlineStr">
        <is>
          <t>実機</t>
        </is>
      </c>
      <c r="F14" s="17" t="inlineStr">
        <is>
          <t>https://www.eventbrite.com/e/out-abt-halloween-edition-tickets-1996989228540</t>
        </is>
      </c>
      <c r="G14" s="16" t="inlineStr">
        <is>
          <t>FEW TICKETS LEFT・Going fast・Almost full・Just added のステータスバッジを表示。残席数そのものの表示は確認できず</t>
        </is>
      </c>
    </row>
    <row r="15">
      <c r="A15" s="16" t="inlineStr">
        <is>
          <t>Eventbrite</t>
        </is>
      </c>
      <c r="B15" s="16" t="inlineStr">
        <is>
          <t>JN06</t>
        </is>
      </c>
      <c r="C15" s="16" t="inlineStr">
        <is>
          <t>追加質問・同行者の入力</t>
        </is>
      </c>
      <c r="D15" s="13" t="inlineStr">
        <is>
          <t>✅</t>
        </is>
      </c>
      <c r="E15" s="16" t="inlineStr">
        <is>
          <t>公式</t>
        </is>
      </c>
      <c r="F15" s="17" t="inlineStr">
        <is>
          <t>https://www.eventbrite.com/organizer/features/all-features/</t>
        </is>
      </c>
      <c r="G15" s="16" t="inlineStr">
        <is>
          <t>Customizable Registration Process(注文フォームで収集項目を設定)。質問を確認前/後のどちらで出すかも選べる(2026-04)</t>
        </is>
      </c>
    </row>
    <row r="16">
      <c r="A16" s="16" t="inlineStr">
        <is>
          <t>Eventbrite</t>
        </is>
      </c>
      <c r="B16" s="16" t="inlineStr">
        <is>
          <t>JN07</t>
        </is>
      </c>
      <c r="C16" s="16" t="inlineStr">
        <is>
          <t>参加者のセルフキャンセル</t>
        </is>
      </c>
      <c r="D16" s="13" t="inlineStr">
        <is>
          <t>△</t>
        </is>
      </c>
      <c r="E16" s="16" t="inlineStr">
        <is>
          <t>公式</t>
        </is>
      </c>
      <c r="F16" s="17" t="inlineStr">
        <is>
          <t>https://www.eventbrite.com/help/en-us/articles/721549/can-i-get-a-refund/</t>
        </is>
      </c>
      <c r="G16" s="16" t="inlineStr">
        <is>
          <t>主催者が許可した場合のみアカウントから返金申請できる。返金ポリシーは主催者が設定。中止または45日超の延期は Eventbrite 経由で申請可</t>
        </is>
      </c>
    </row>
    <row r="17">
      <c r="A17" s="16" t="inlineStr">
        <is>
          <t>Eventbrite</t>
        </is>
      </c>
      <c r="B17" s="16" t="inlineStr">
        <is>
          <t>JN08</t>
        </is>
      </c>
      <c r="C17" s="16" t="inlineStr">
        <is>
          <t>カレンダー追加</t>
        </is>
      </c>
      <c r="D17" s="13" t="inlineStr">
        <is>
          <t>？</t>
        </is>
      </c>
      <c r="E17" s="16" t="inlineStr">
        <is>
          <t>なし</t>
        </is>
      </c>
      <c r="F17" s="16" t="inlineStr"/>
      <c r="G17" s="16" t="inlineStr">
        <is>
          <t>Facebook連携時のFacebookカレンダー追加のみ確認。ICS・Google・Apple カレンダーへの追加は公式資料で確認できず</t>
        </is>
      </c>
    </row>
    <row r="18">
      <c r="A18" s="16" t="inlineStr">
        <is>
          <t>Eventbrite</t>
        </is>
      </c>
      <c r="B18" s="16" t="inlineStr">
        <is>
          <t>JN09</t>
        </is>
      </c>
      <c r="C18" s="16" t="inlineStr">
        <is>
          <t>開催前リマインド</t>
        </is>
      </c>
      <c r="D18" s="13" t="inlineStr">
        <is>
          <t>✅</t>
        </is>
      </c>
      <c r="E18" s="16" t="inlineStr">
        <is>
          <t>公式</t>
        </is>
      </c>
      <c r="F18" s="17" t="inlineStr">
        <is>
          <t>https://www.eventbrite.com/organizer/pricing/</t>
        </is>
      </c>
      <c r="G18" s="16" t="inlineStr">
        <is>
          <t>Automated event reminders を提供。公開イベントごとにリマインドメールが自動作成され、主催者が編集・削除できる(ヘルプ検索結果)</t>
        </is>
      </c>
    </row>
    <row r="19">
      <c r="A19" s="16" t="inlineStr">
        <is>
          <t>Eventbrite</t>
        </is>
      </c>
      <c r="B19" s="16" t="inlineStr">
        <is>
          <t>JN10</t>
        </is>
      </c>
      <c r="C19" s="16" t="inlineStr">
        <is>
          <t>QRチケット・当日受付</t>
        </is>
      </c>
      <c r="D19" s="13" t="inlineStr">
        <is>
          <t>✅</t>
        </is>
      </c>
      <c r="E19" s="16" t="inlineStr">
        <is>
          <t>公式</t>
        </is>
      </c>
      <c r="F19" s="17" t="inlineStr">
        <is>
          <t>https://www.eventbrite.com/features/recurring-events/</t>
        </is>
      </c>
      <c r="G19" s="16" t="inlineStr">
        <is>
          <t>QRコード付きチケットと無料の Organizer アプリでスキャン受付。Apple/Google Wallet 保存は2026-04 の公式ブログに記載</t>
        </is>
      </c>
    </row>
    <row r="20">
      <c r="A20" s="16" t="inlineStr">
        <is>
          <t>Eventbrite</t>
        </is>
      </c>
      <c r="B20" s="16" t="inlineStr">
        <is>
          <t>JN11</t>
        </is>
      </c>
      <c r="C20" s="16" t="inlineStr">
        <is>
          <t>参加者一覧の閲覧</t>
        </is>
      </c>
      <c r="D20" s="13" t="inlineStr">
        <is>
          <t>△</t>
        </is>
      </c>
      <c r="E20" s="16" t="inlineStr">
        <is>
          <t>公式</t>
        </is>
      </c>
      <c r="F20" s="17" t="inlineStr">
        <is>
          <t>https://www.eventbrite.com/d/ny--new-york/events/</t>
        </is>
      </c>
      <c r="G20" s="16" t="inlineStr">
        <is>
          <t>アプリで友人の参加予定を表示(Find friends and see where they're going)。一般の参加者一覧の公開は確認できず</t>
        </is>
      </c>
    </row>
    <row r="21">
      <c r="A21" s="16" t="inlineStr">
        <is>
          <t>Eventbrite</t>
        </is>
      </c>
      <c r="B21" s="16" t="inlineStr">
        <is>
          <t>JN12</t>
        </is>
      </c>
      <c r="C21" s="16" t="inlineStr">
        <is>
          <t>イベント後の体験</t>
        </is>
      </c>
      <c r="D21" s="13" t="inlineStr">
        <is>
          <t>△</t>
        </is>
      </c>
      <c r="E21" s="16" t="inlineStr">
        <is>
          <t>公式</t>
        </is>
      </c>
      <c r="F21" s="17" t="inlineStr">
        <is>
          <t>https://www.eventbrite.com/help/en-us/search/?q=email%20preferences%20recommended%20events%20notifications</t>
        </is>
      </c>
      <c r="G21" s="16" t="inlineStr">
        <is>
          <t>主催者は開催中〜終了後10日まで参加者へメール送信可。レビュー・写真アルバム等の専用機能は確認できず</t>
        </is>
      </c>
    </row>
    <row r="22">
      <c r="A22" s="16" t="inlineStr">
        <is>
          <t>Eventbrite</t>
        </is>
      </c>
      <c r="B22" s="16" t="inlineStr">
        <is>
          <t>SH01</t>
        </is>
      </c>
      <c r="C22" s="16" t="inlineStr">
        <is>
          <t>共有用URL・OGPカード</t>
        </is>
      </c>
      <c r="D22" s="13" t="inlineStr">
        <is>
          <t>✅</t>
        </is>
      </c>
      <c r="E22" s="16" t="inlineStr">
        <is>
          <t>実機</t>
        </is>
      </c>
      <c r="F22" s="17" t="inlineStr">
        <is>
          <t>https://www.eventbrite.com/e/out-abt-halloween-edition-tickets-1996989228540</t>
        </is>
      </c>
      <c r="G22" s="16" t="inlineStr">
        <is>
          <t>og:title・og:image・og:description・twitter:card(summary_large_image)と schema.org Event を確認(2026-10 実機)</t>
        </is>
      </c>
    </row>
    <row r="23">
      <c r="A23" s="16" t="inlineStr">
        <is>
          <t>Eventbrite</t>
        </is>
      </c>
      <c r="B23" s="16" t="inlineStr">
        <is>
          <t>SH02</t>
        </is>
      </c>
      <c r="C23" s="16" t="inlineStr">
        <is>
          <t>SNS・メッセージ共有ボタン</t>
        </is>
      </c>
      <c r="D23" s="13" t="inlineStr">
        <is>
          <t>✅</t>
        </is>
      </c>
      <c r="E23" s="16" t="inlineStr">
        <is>
          <t>実機</t>
        </is>
      </c>
      <c r="F23" s="17" t="inlineStr">
        <is>
          <t>https://www.eventbrite.com/e/out-abt-halloween-edition-tickets-1996989228540</t>
        </is>
      </c>
      <c r="G23" s="16" t="inlineStr">
        <is>
          <t>Share with friends でリンクコピー・Facebook・Messenger・LinkedIn・X・メールに共有可(LINE・WhatsApp は無し)。グロース根拠あり(2010年: Facebook共有1回あたり平均$1.78[自社計測])</t>
        </is>
      </c>
    </row>
    <row r="24">
      <c r="A24" s="16" t="inlineStr">
        <is>
          <t>Eventbrite</t>
        </is>
      </c>
      <c r="B24" s="16" t="inlineStr">
        <is>
          <t>SH03</t>
        </is>
      </c>
      <c r="C24" s="16" t="inlineStr">
        <is>
          <t>友人・同行者の招待導線</t>
        </is>
      </c>
      <c r="D24" s="13" t="inlineStr">
        <is>
          <t>？</t>
        </is>
      </c>
      <c r="E24" s="16" t="inlineStr">
        <is>
          <t>なし</t>
        </is>
      </c>
      <c r="F24" s="16" t="inlineStr"/>
      <c r="G24" s="16" t="inlineStr">
        <is>
          <t>申込後・作成後に友人を招待する専用導線は確認できず(共有ボタンのみ)</t>
        </is>
      </c>
    </row>
    <row r="25">
      <c r="A25" s="16" t="inlineStr">
        <is>
          <t>Eventbrite</t>
        </is>
      </c>
      <c r="B25" s="16" t="inlineStr">
        <is>
          <t>SH04</t>
        </is>
      </c>
      <c r="C25" s="16" t="inlineStr">
        <is>
          <t>紹介リンク・紹介の可視化</t>
        </is>
      </c>
      <c r="D25" s="13" t="inlineStr">
        <is>
          <t>△</t>
        </is>
      </c>
      <c r="E25" s="16" t="inlineStr">
        <is>
          <t>公式</t>
        </is>
      </c>
      <c r="F25" s="17" t="inlineStr">
        <is>
          <t>https://www.eventbrite.com/help/en-us/articles/835126/how-to-create-promotional-tracking-links/</t>
        </is>
      </c>
      <c r="G25" s="16" t="inlineStr">
        <is>
          <t>主催者が作るトラッキングリンクで、リンク単位の訪問・購入を計測できる(アフィリエイト用途も想定)。参加者個人の紹介リンク・紹介元の可視化は確認できず</t>
        </is>
      </c>
    </row>
    <row r="26">
      <c r="A26" s="16" t="inlineStr">
        <is>
          <t>Eventbrite</t>
        </is>
      </c>
      <c r="B26" s="16" t="inlineStr">
        <is>
          <t>SH05</t>
        </is>
      </c>
      <c r="C26" s="16" t="inlineStr">
        <is>
          <t>連絡先・SNS連携で友人発見</t>
        </is>
      </c>
      <c r="D26" s="13" t="inlineStr">
        <is>
          <t>✅</t>
        </is>
      </c>
      <c r="E26" s="16" t="inlineStr">
        <is>
          <t>公式</t>
        </is>
      </c>
      <c r="F26" s="17" t="inlineStr">
        <is>
          <t>https://www.eventbrite.com/d/ny--new-york/events/</t>
        </is>
      </c>
      <c r="G26" s="16" t="inlineStr">
        <is>
          <t>アプリで友人を見つけ参加予定を見られる(都市ページの記載)。連絡先同期は2025-03のアプリ刷新PR(既存ノート)による</t>
        </is>
      </c>
    </row>
    <row r="27">
      <c r="A27" s="16" t="inlineStr">
        <is>
          <t>Eventbrite</t>
        </is>
      </c>
      <c r="B27" s="16" t="inlineStr">
        <is>
          <t>SH06</t>
        </is>
      </c>
      <c r="C27" s="16" t="inlineStr">
        <is>
          <t>社会的証明の表示</t>
        </is>
      </c>
      <c r="D27" s="13" t="inlineStr">
        <is>
          <t>△</t>
        </is>
      </c>
      <c r="E27" s="16" t="inlineStr">
        <is>
          <t>実機</t>
        </is>
      </c>
      <c r="F27" s="17" t="inlineStr">
        <is>
          <t>https://www.eventbrite.com/e/out-abt-halloween-edition-tickets-1996989228540</t>
        </is>
      </c>
      <c r="G27" s="16" t="inlineStr">
        <is>
          <t>ステータスバッジ(Few tickets left 等)と主催者の followers・total attendees を表示。イベントごとの参加者アバター・人数の表示は確認できず</t>
        </is>
      </c>
    </row>
    <row r="28">
      <c r="A28" s="16" t="inlineStr">
        <is>
          <t>Eventbrite</t>
        </is>
      </c>
      <c r="B28" s="16" t="inlineStr">
        <is>
          <t>SH07</t>
        </is>
      </c>
      <c r="C28" s="16" t="inlineStr">
        <is>
          <t>QR・短縮URL・チラシ生成</t>
        </is>
      </c>
      <c r="D28" s="13" t="inlineStr">
        <is>
          <t>✅</t>
        </is>
      </c>
      <c r="E28" s="16" t="inlineStr">
        <is>
          <t>公式</t>
        </is>
      </c>
      <c r="F28" s="17" t="inlineStr">
        <is>
          <t>https://www.eventbrite.com/blog/whats-next-at-eventbrite/</t>
        </is>
      </c>
      <c r="G28" s="16" t="inlineStr">
        <is>
          <t>QRコード付きの印刷用イベントフライヤー生成ツール(2026-04 公式ブログ)</t>
        </is>
      </c>
    </row>
    <row r="29">
      <c r="A29" s="16" t="inlineStr">
        <is>
          <t>Eventbrite</t>
        </is>
      </c>
      <c r="B29" s="16" t="inlineStr">
        <is>
          <t>SH08</t>
        </is>
      </c>
      <c r="C29" s="16" t="inlineStr">
        <is>
          <t>埋め込みウィジェット</t>
        </is>
      </c>
      <c r="D29" s="13" t="inlineStr">
        <is>
          <t>✅</t>
        </is>
      </c>
      <c r="E29" s="16" t="inlineStr">
        <is>
          <t>公式</t>
        </is>
      </c>
      <c r="F29" s="17" t="inlineStr">
        <is>
          <t>https://www.eventbrite.com/organizer/features/all-features/</t>
        </is>
      </c>
      <c r="G29" s="16" t="inlineStr">
        <is>
          <t>Embedded Checkout(自サイトを離れずに購入できる埋め込みチェックアウト)</t>
        </is>
      </c>
    </row>
    <row r="30">
      <c r="A30" s="16" t="inlineStr">
        <is>
          <t>Eventbrite</t>
        </is>
      </c>
      <c r="B30" s="16" t="inlineStr">
        <is>
          <t>OP01</t>
        </is>
      </c>
      <c r="C30" s="16" t="inlineStr">
        <is>
          <t>簡単な作成</t>
        </is>
      </c>
      <c r="D30" s="13" t="inlineStr">
        <is>
          <t>✅</t>
        </is>
      </c>
      <c r="E30" s="16" t="inlineStr">
        <is>
          <t>公式</t>
        </is>
      </c>
      <c r="F30" s="17" t="inlineStr">
        <is>
          <t>https://www.eventbrite.com/blog/whats-next-at-eventbrite/</t>
        </is>
      </c>
      <c r="G30" s="16" t="inlineStr">
        <is>
          <t>Event Page Builder。2026-04 に作成画面の読み込みを約40%短縮、全ステップで下書き保存に対応</t>
        </is>
      </c>
    </row>
    <row r="31">
      <c r="A31" s="16" t="inlineStr">
        <is>
          <t>Eventbrite</t>
        </is>
      </c>
      <c r="B31" s="16" t="inlineStr">
        <is>
          <t>OP02</t>
        </is>
      </c>
      <c r="C31" s="16" t="inlineStr">
        <is>
          <t>コピー・繰り返し作成</t>
        </is>
      </c>
      <c r="D31" s="13" t="inlineStr">
        <is>
          <t>✅</t>
        </is>
      </c>
      <c r="E31" s="16" t="inlineStr">
        <is>
          <t>公式</t>
        </is>
      </c>
      <c r="F31" s="17" t="inlineStr">
        <is>
          <t>https://www.eventbrite.com/features/recurring-events/</t>
        </is>
      </c>
      <c r="G31" s="16" t="inlineStr">
        <is>
          <t>Recurring Events(日・週・月の繰り返しを一度の設定で一括公開)。APIにはイベントコピーもある</t>
        </is>
      </c>
    </row>
    <row r="32">
      <c r="A32" s="16" t="inlineStr">
        <is>
          <t>Eventbrite</t>
        </is>
      </c>
      <c r="B32" s="16" t="inlineStr">
        <is>
          <t>OP03</t>
        </is>
      </c>
      <c r="C32" s="16" t="inlineStr">
        <is>
          <t>下書き・限定公開</t>
        </is>
      </c>
      <c r="D32" s="13" t="inlineStr">
        <is>
          <t>✅</t>
        </is>
      </c>
      <c r="E32" s="16" t="inlineStr">
        <is>
          <t>公式</t>
        </is>
      </c>
      <c r="F32" s="17" t="inlineStr">
        <is>
          <t>https://www.eventbrite.com/blog/whats-next-at-eventbrite/</t>
        </is>
      </c>
      <c r="G32" s="16" t="inlineStr">
        <is>
          <t>全ステップで下書き保存(2026-04)。権限定義にイベントのプライバシー設定あり。URL限定公開の詳細は未確認</t>
        </is>
      </c>
    </row>
    <row r="33">
      <c r="A33" s="16" t="inlineStr">
        <is>
          <t>Eventbrite</t>
        </is>
      </c>
      <c r="B33" s="16" t="inlineStr">
        <is>
          <t>OP04</t>
        </is>
      </c>
      <c r="C33" s="16" t="inlineStr">
        <is>
          <t>AI作成支援</t>
        </is>
      </c>
      <c r="D33" s="13" t="inlineStr">
        <is>
          <t>✅</t>
        </is>
      </c>
      <c r="E33" s="16" t="inlineStr">
        <is>
          <t>公式</t>
        </is>
      </c>
      <c r="F33" s="17" t="inlineStr">
        <is>
          <t>https://www.eventbrite.com/organizer/features/all-features/</t>
        </is>
      </c>
      <c r="G33" s="16" t="inlineStr">
        <is>
          <t>AI Event Management Tools(イベント作成・広告・メール文面をAIで生成、キャンペーン立ち上げ30%短縮と記載)</t>
        </is>
      </c>
    </row>
    <row r="34">
      <c r="A34" s="16" t="inlineStr">
        <is>
          <t>Eventbrite</t>
        </is>
      </c>
      <c r="B34" s="16" t="inlineStr">
        <is>
          <t>OP05</t>
        </is>
      </c>
      <c r="C34" s="16" t="inlineStr">
        <is>
          <t>共同主催・運営メンバー権限</t>
        </is>
      </c>
      <c r="D34" s="13" t="inlineStr">
        <is>
          <t>✅</t>
        </is>
      </c>
      <c r="E34" s="16" t="inlineStr">
        <is>
          <t>公式</t>
        </is>
      </c>
      <c r="F34" s="17" t="inlineStr">
        <is>
          <t>https://www.eventbrite.com/help/en-us/articles/362073/permissions-definitions/</t>
        </is>
      </c>
      <c r="G34" s="16" t="inlineStr">
        <is>
          <t>チームメンバーへ細かな権限(イベント編集・ウェイトリスト・チェックイン・割引コード・報告等)を付与できる</t>
        </is>
      </c>
    </row>
    <row r="35">
      <c r="A35" s="16" t="inlineStr">
        <is>
          <t>Eventbrite</t>
        </is>
      </c>
      <c r="B35" s="16" t="inlineStr">
        <is>
          <t>OP06</t>
        </is>
      </c>
      <c r="C35" s="16" t="inlineStr">
        <is>
          <t>参加者管理・名簿出力</t>
        </is>
      </c>
      <c r="D35" s="13" t="inlineStr">
        <is>
          <t>✅</t>
        </is>
      </c>
      <c r="E35" s="16" t="inlineStr">
        <is>
          <t>公式</t>
        </is>
      </c>
      <c r="F35" s="17" t="inlineStr">
        <is>
          <t>https://www.eventbrite.com/help/en-us/articles/496608/download-an-attendees-report/</t>
        </is>
      </c>
      <c r="G35" s="16" t="inlineStr">
        <is>
          <t>Attendees レポートを CSV または Excel で出力。複数イベント横断も可</t>
        </is>
      </c>
    </row>
    <row r="36">
      <c r="A36" s="16" t="inlineStr">
        <is>
          <t>Eventbrite</t>
        </is>
      </c>
      <c r="B36" s="16" t="inlineStr">
        <is>
          <t>OP07</t>
        </is>
      </c>
      <c r="C36" s="16" t="inlineStr">
        <is>
          <t>一斉メッセージ</t>
        </is>
      </c>
      <c r="D36" s="13" t="inlineStr">
        <is>
          <t>✅</t>
        </is>
      </c>
      <c r="E36" s="16" t="inlineStr">
        <is>
          <t>公式</t>
        </is>
      </c>
      <c r="F36" s="17" t="inlineStr">
        <is>
          <t>https://www.eventbrite.com/help/en-us/articles/362073/permissions-definitions/</t>
        </is>
      </c>
      <c r="G36" s="16" t="inlineStr">
        <is>
          <t>Email attendees(イベントの参加者へメール作成・送信)と Email campaigns。無料は1日250通、Premium は2,000通/日まで(Email Marketing ページ)</t>
        </is>
      </c>
    </row>
    <row r="37">
      <c r="A37" s="16" t="inlineStr">
        <is>
          <t>Eventbrite</t>
        </is>
      </c>
      <c r="B37" s="16" t="inlineStr">
        <is>
          <t>OP08</t>
        </is>
      </c>
      <c r="C37" s="16" t="inlineStr">
        <is>
          <t>当日運営ツール</t>
        </is>
      </c>
      <c r="D37" s="13" t="inlineStr">
        <is>
          <t>✅</t>
        </is>
      </c>
      <c r="E37" s="16" t="inlineStr">
        <is>
          <t>公式</t>
        </is>
      </c>
      <c r="F37" s="17" t="inlineStr">
        <is>
          <t>https://www.eventbrite.com/organizer/features/all-features/</t>
        </is>
      </c>
      <c r="G37" s="16" t="inlineStr">
        <is>
          <t>Organizer Check-in App(受付・リアルタイム販売確認)、Tap to Pay、当日券販売、名札出力</t>
        </is>
      </c>
    </row>
    <row r="38">
      <c r="A38" s="16" t="inlineStr">
        <is>
          <t>Eventbrite</t>
        </is>
      </c>
      <c r="B38" s="16" t="inlineStr">
        <is>
          <t>OP09</t>
        </is>
      </c>
      <c r="C38" s="16" t="inlineStr">
        <is>
          <t>売上・入金管理</t>
        </is>
      </c>
      <c r="D38" s="13" t="inlineStr">
        <is>
          <t>✅</t>
        </is>
      </c>
      <c r="E38" s="16" t="inlineStr">
        <is>
          <t>公式</t>
        </is>
      </c>
      <c r="F38" s="17" t="inlineStr">
        <is>
          <t>https://www.eventbrite.com/organizer/features/all-features/</t>
        </is>
      </c>
      <c r="G38" s="16" t="inlineStr">
        <is>
          <t>Instant Payouts(一部の米国主催者のみ)と事前ペイアウト、Finance 画面で入金管理。標準はイベント終了3営業日後(ヘルプ検索結果)</t>
        </is>
      </c>
    </row>
    <row r="39">
      <c r="A39" s="16" t="inlineStr">
        <is>
          <t>Eventbrite</t>
        </is>
      </c>
      <c r="B39" s="16" t="inlineStr">
        <is>
          <t>OP10</t>
        </is>
      </c>
      <c r="C39" s="16" t="inlineStr">
        <is>
          <t>流入・申込の分析</t>
        </is>
      </c>
      <c r="D39" s="13" t="inlineStr">
        <is>
          <t>✅</t>
        </is>
      </c>
      <c r="E39" s="16" t="inlineStr">
        <is>
          <t>公式</t>
        </is>
      </c>
      <c r="F39" s="17" t="inlineStr">
        <is>
          <t>https://www.eventbrite.com/help/en-us/articles/835126/how-to-create-promotional-tracking-links/</t>
        </is>
      </c>
      <c r="G39" s="16" t="inlineStr">
        <is>
          <t>トラッキングリンク・トラッキングピクセル(Meta・Google・X)・Traffic and conversion レポート。UTM パラメータ自体の記載は確認できず</t>
        </is>
      </c>
    </row>
    <row r="40">
      <c r="A40" s="16" t="inlineStr">
        <is>
          <t>Eventbrite</t>
        </is>
      </c>
      <c r="B40" s="16" t="inlineStr">
        <is>
          <t>OP11</t>
        </is>
      </c>
      <c r="C40" s="16" t="inlineStr">
        <is>
          <t>主催者ページ・グループページ</t>
        </is>
      </c>
      <c r="D40" s="13" t="inlineStr">
        <is>
          <t>✅</t>
        </is>
      </c>
      <c r="E40" s="16" t="inlineStr">
        <is>
          <t>公式</t>
        </is>
      </c>
      <c r="F40" s="17" t="inlineStr">
        <is>
          <t>https://www.eventbrite.com/help/en-us/articles/161196/how-to-set-up-your-organizer-profile-page/</t>
        </is>
      </c>
      <c r="G40" s="16" t="inlineStr">
        <is>
          <t>主催者プロフィール(公開イベント一覧・フォロー・フォロワー確認)。2026-04 に刷新(カバー画像・過去イベント写真ギャラリー・統計)</t>
        </is>
      </c>
    </row>
    <row r="41">
      <c r="A41" s="16" t="inlineStr">
        <is>
          <t>Eventbrite</t>
        </is>
      </c>
      <c r="B41" s="16" t="inlineStr">
        <is>
          <t>OP12</t>
        </is>
      </c>
      <c r="C41" s="16" t="inlineStr">
        <is>
          <t>外部ツール連携・API</t>
        </is>
      </c>
      <c r="D41" s="13" t="inlineStr">
        <is>
          <t>✅</t>
        </is>
      </c>
      <c r="E41" s="16" t="inlineStr">
        <is>
          <t>公式</t>
        </is>
      </c>
      <c r="F41" s="17" t="inlineStr">
        <is>
          <t>https://www.eventbrite.com/platform/api</t>
        </is>
      </c>
      <c r="G41" s="16" t="inlineStr">
        <is>
          <t>Public API v3(イベント・参加者・注文・割引・レポート)と Webhooks。App Marketplace、Zoom・Facebook・TikTok・LinkedIn・YouTube 連携、Mailchimp 連携</t>
        </is>
      </c>
    </row>
    <row r="42">
      <c r="A42" s="16" t="inlineStr">
        <is>
          <t>Eventbrite</t>
        </is>
      </c>
      <c r="B42" s="16" t="inlineStr">
        <is>
          <t>AC01</t>
        </is>
      </c>
      <c r="C42" s="16" t="inlineStr">
        <is>
          <t>無料イベントは無料</t>
        </is>
      </c>
      <c r="D42" s="13" t="inlineStr">
        <is>
          <t>✅</t>
        </is>
      </c>
      <c r="E42" s="16" t="inlineStr">
        <is>
          <t>公式</t>
        </is>
      </c>
      <c r="F42" s="17" t="inlineStr">
        <is>
          <t>https://www.eventbrite.com/organizer/pricing/</t>
        </is>
      </c>
      <c r="G42" s="16" t="inlineStr">
        <is>
          <t>無料イベントは無制限・手数料なし(2024-09 に復活)。グロース根拠あり(負の事例: 2023-24年に無料イベントへ主催者手数料を課し有料チケットが2024年-10%、2024-09撤回。無料を開いた主催者の約17%が12か月以内に有料開催[10-K FY2018])</t>
        </is>
      </c>
    </row>
    <row r="43">
      <c r="A43" s="16" t="inlineStr">
        <is>
          <t>Eventbrite</t>
        </is>
      </c>
      <c r="B43" s="16" t="inlineStr">
        <is>
          <t>AC02</t>
        </is>
      </c>
      <c r="C43" s="16" t="inlineStr">
        <is>
          <t>手数料負担の選択</t>
        </is>
      </c>
      <c r="D43" s="13" t="inlineStr">
        <is>
          <t>✅</t>
        </is>
      </c>
      <c r="E43" s="16" t="inlineStr">
        <is>
          <t>公式</t>
        </is>
      </c>
      <c r="F43" s="17" t="inlineStr">
        <is>
          <t>https://www.eventbrite.com/organizer/pricing/</t>
        </is>
      </c>
      <c r="G43" s="16" t="inlineStr">
        <is>
          <t>既定は購入者負担。主催者がチケット種別ごとに手数料を吸収できる</t>
        </is>
      </c>
    </row>
    <row r="44">
      <c r="A44" s="16" t="inlineStr">
        <is>
          <t>Eventbrite</t>
        </is>
      </c>
      <c r="B44" s="16" t="inlineStr">
        <is>
          <t>AC03</t>
        </is>
      </c>
      <c r="C44" s="16" t="inlineStr">
        <is>
          <t>参加者データの所有・出力</t>
        </is>
      </c>
      <c r="D44" s="13" t="inlineStr">
        <is>
          <t>✅</t>
        </is>
      </c>
      <c r="E44" s="16" t="inlineStr">
        <is>
          <t>公式</t>
        </is>
      </c>
      <c r="F44" s="17" t="inlineStr">
        <is>
          <t>https://www.eventbrite.com/help/en-us/articles/496608/download-an-attendees-report/</t>
        </is>
      </c>
      <c r="G44" s="16" t="inlineStr">
        <is>
          <t>参加者レポートを CSV/Excel で出力でき、購入者はメール購読者リストに自動追加される(Email Marketing ページ)</t>
        </is>
      </c>
    </row>
    <row r="45">
      <c r="A45" s="16" t="inlineStr">
        <is>
          <t>Eventbrite</t>
        </is>
      </c>
      <c r="B45" s="16" t="inlineStr">
        <is>
          <t>AC04</t>
        </is>
      </c>
      <c r="C45" s="16" t="inlineStr">
        <is>
          <t>他サービスからの移行</t>
        </is>
      </c>
      <c r="D45" s="13" t="inlineStr">
        <is>
          <t>△</t>
        </is>
      </c>
      <c r="E45" s="16" t="inlineStr">
        <is>
          <t>公式</t>
        </is>
      </c>
      <c r="F45" s="17" t="inlineStr">
        <is>
          <t>https://www.eventbrite.com/organizer/features/email-marketing/</t>
        </is>
      </c>
      <c r="G45" s="16" t="inlineStr">
        <is>
          <t>他プラットフォームの連絡先アップロードと過去参加者のインポートでメール配信リストを移せる。他サービスのイベント自体の移行ツールは確認できず</t>
        </is>
      </c>
    </row>
    <row r="46">
      <c r="A46" s="16" t="inlineStr">
        <is>
          <t>Eventbrite</t>
        </is>
      </c>
      <c r="B46" s="16" t="inlineStr">
        <is>
          <t>AC05</t>
        </is>
      </c>
      <c r="C46" s="16" t="inlineStr">
        <is>
          <t>主催者紹介・アンバサダー</t>
        </is>
      </c>
      <c r="D46" s="13" t="inlineStr">
        <is>
          <t>？</t>
        </is>
      </c>
      <c r="E46" s="16" t="inlineStr">
        <is>
          <t>なし</t>
        </is>
      </c>
      <c r="F46" s="16" t="inlineStr"/>
      <c r="G46" s="16" t="inlineStr">
        <is>
          <t>主催者の紹介報酬・アンバサダー制度は公式資料で確認できず(B2Bアフィリエイトは既存ノートで資料間不一致)</t>
        </is>
      </c>
    </row>
    <row r="47">
      <c r="A47" s="16" t="inlineStr">
        <is>
          <t>Eventbrite</t>
        </is>
      </c>
      <c r="B47" s="16" t="inlineStr">
        <is>
          <t>AC06</t>
        </is>
      </c>
      <c r="C47" s="16" t="inlineStr">
        <is>
          <t>主催者向け教育・テンプレ</t>
        </is>
      </c>
      <c r="D47" s="13" t="inlineStr">
        <is>
          <t>✅</t>
        </is>
      </c>
      <c r="E47" s="16" t="inlineStr">
        <is>
          <t>公式</t>
        </is>
      </c>
      <c r="F47" s="17" t="inlineStr">
        <is>
          <t>https://www.eventbrite.com/organizer/features/all-features/</t>
        </is>
      </c>
      <c r="G47" s="16" t="inlineStr">
        <is>
          <t>Organizer 向けリソース(チェックリスト・予算テンプレ・マーケKPI等)、ブログ、新規主催者向けウェビナー(ヘルプ)</t>
        </is>
      </c>
    </row>
    <row r="48">
      <c r="A48" s="16" t="inlineStr">
        <is>
          <t>Eventbrite</t>
        </is>
      </c>
      <c r="B48" s="16" t="inlineStr">
        <is>
          <t>AC07</t>
        </is>
      </c>
      <c r="C48" s="16" t="inlineStr">
        <is>
          <t>集客支援の商品</t>
        </is>
      </c>
      <c r="D48" s="13" t="inlineStr">
        <is>
          <t>✅</t>
        </is>
      </c>
      <c r="E48" s="16" t="inlineStr">
        <is>
          <t>公式</t>
        </is>
      </c>
      <c r="F48" s="17" t="inlineStr">
        <is>
          <t>https://www.eventbrite.com/help/en-us/articles/193833/eventbrites-new-pricing-plans/</t>
        </is>
      </c>
      <c r="G48" s="16" t="inlineStr">
        <is>
          <t>Eventbrite Ads(上位掲載、一部市場)、Email Marketing、Smart Audience。Premium は週次ニュースレターの掲載枠・Meta/Google/TikTok 広告枠込み。グロース根拠あり(弱: 自社主張『プレミアムなマーケティングツールを使ったイベントは販売チケットが63%多い』・因果は不明)</t>
        </is>
      </c>
    </row>
    <row r="49">
      <c r="A49" s="16" t="inlineStr">
        <is>
          <t>Eventbrite</t>
        </is>
      </c>
      <c r="B49" s="16" t="inlineStr">
        <is>
          <t>AC08</t>
        </is>
      </c>
      <c r="C49" s="16" t="inlineStr">
        <is>
          <t>運営主催・公式イベント</t>
        </is>
      </c>
      <c r="D49" s="13" t="inlineStr">
        <is>
          <t>？</t>
        </is>
      </c>
      <c r="E49" s="16" t="inlineStr">
        <is>
          <t>なし</t>
        </is>
      </c>
      <c r="F49" s="16" t="inlineStr"/>
      <c r="G49" s="16" t="inlineStr">
        <is>
          <t>運営自身によるイベント主催・共催は公式資料で確認できず</t>
        </is>
      </c>
    </row>
    <row r="50">
      <c r="A50" s="16" t="inlineStr">
        <is>
          <t>Eventbrite</t>
        </is>
      </c>
      <c r="B50" s="16" t="inlineStr">
        <is>
          <t>CR01</t>
        </is>
      </c>
      <c r="C50" s="16" t="inlineStr">
        <is>
          <t>ダイジェスト・おすすめ通知</t>
        </is>
      </c>
      <c r="D50" s="13" t="inlineStr">
        <is>
          <t>✅</t>
        </is>
      </c>
      <c r="E50" s="16" t="inlineStr">
        <is>
          <t>公式</t>
        </is>
      </c>
      <c r="F50" s="17" t="inlineStr">
        <is>
          <t>https://www.eventbrite.com/d/ny--new-york/events/</t>
        </is>
      </c>
      <c r="G50" s="16" t="inlineStr">
        <is>
          <t>アプリで curated recommendations を提供。Eventbrite のマーケティングメールは設定で購読可否を選べる(ヘルプ検索結果)。配信頻度・ダイジェスト形式の詳細は未確認</t>
        </is>
      </c>
    </row>
    <row r="51">
      <c r="A51" s="16" t="inlineStr">
        <is>
          <t>Eventbrite</t>
        </is>
      </c>
      <c r="B51" s="16" t="inlineStr">
        <is>
          <t>CR02</t>
        </is>
      </c>
      <c r="C51" s="16" t="inlineStr">
        <is>
          <t>自動メンバー化</t>
        </is>
      </c>
      <c r="D51" s="13" t="inlineStr">
        <is>
          <t>？</t>
        </is>
      </c>
      <c r="E51" s="16" t="inlineStr">
        <is>
          <t>なし</t>
        </is>
      </c>
      <c r="F51" s="16" t="inlineStr"/>
      <c r="G51" s="16" t="inlineStr">
        <is>
          <t>参加者が自動で主催者フォロワーになる仕様は確認できず(フォローは任意操作)</t>
        </is>
      </c>
    </row>
    <row r="52">
      <c r="A52" s="16" t="inlineStr">
        <is>
          <t>Eventbrite</t>
        </is>
      </c>
      <c r="B52" s="16" t="inlineStr">
        <is>
          <t>CR03</t>
        </is>
      </c>
      <c r="C52" s="16" t="inlineStr">
        <is>
          <t>前回参加者への優先案内</t>
        </is>
      </c>
      <c r="D52" s="13" t="inlineStr">
        <is>
          <t>△</t>
        </is>
      </c>
      <c r="E52" s="16" t="inlineStr">
        <is>
          <t>公式</t>
        </is>
      </c>
      <c r="F52" s="17" t="inlineStr">
        <is>
          <t>https://www.eventbrite.com/organizer/features/email-marketing/</t>
        </is>
      </c>
      <c r="G52" s="16" t="inlineStr">
        <is>
          <t>過去参加者をメールリストへ取り込み再案内でき、Promo Codes の exclusive access(アクセスコード)で限定チケットも公開できる。過去参加者の自動優先枠は確認できず</t>
        </is>
      </c>
    </row>
    <row r="53">
      <c r="A53" s="16" t="inlineStr">
        <is>
          <t>Eventbrite</t>
        </is>
      </c>
      <c r="B53" s="16" t="inlineStr">
        <is>
          <t>CR04</t>
        </is>
      </c>
      <c r="C53" s="16" t="inlineStr">
        <is>
          <t>主催者CRM・購読者リスト</t>
        </is>
      </c>
      <c r="D53" s="13" t="inlineStr">
        <is>
          <t>✅</t>
        </is>
      </c>
      <c r="E53" s="16" t="inlineStr">
        <is>
          <t>公式</t>
        </is>
      </c>
      <c r="F53" s="17" t="inlineStr">
        <is>
          <t>https://www.eventbrite.com/organizer/features/email-marketing/</t>
        </is>
      </c>
      <c r="G53" s="16" t="inlineStr">
        <is>
          <t>購入者が購読者リストに自動追加され、過去の参加・購入行動でセグメント配信できる。無料は1日250通、Premium は2,000通/日(2026-10)</t>
        </is>
      </c>
    </row>
    <row r="54">
      <c r="A54" s="16" t="inlineStr">
        <is>
          <t>Eventbrite</t>
        </is>
      </c>
      <c r="B54" s="16" t="inlineStr">
        <is>
          <t>CR05</t>
        </is>
      </c>
      <c r="C54" s="16" t="inlineStr">
        <is>
          <t>参加履歴・バッジ・実績</t>
        </is>
      </c>
      <c r="D54" s="13" t="inlineStr">
        <is>
          <t>△</t>
        </is>
      </c>
      <c r="E54" s="16" t="inlineStr">
        <is>
          <t>公式</t>
        </is>
      </c>
      <c r="F54" s="17" t="inlineStr">
        <is>
          <t>https://www.eventbrite.com/blog/whats-next-at-eventbrite/</t>
        </is>
      </c>
      <c r="G54" s="16" t="inlineStr">
        <is>
          <t>主催者の Top Organizer バッジと主催者プロフィールの統計。参加者の参加履歴・バッジは確認できず</t>
        </is>
      </c>
    </row>
    <row r="55">
      <c r="A55" s="16" t="inlineStr">
        <is>
          <t>Eventbrite</t>
        </is>
      </c>
      <c r="B55" s="16" t="inlineStr">
        <is>
          <t>CR06</t>
        </is>
      </c>
      <c r="C55" s="16" t="inlineStr">
        <is>
          <t>レビュー・評価</t>
        </is>
      </c>
      <c r="D55" s="13" t="inlineStr">
        <is>
          <t>？</t>
        </is>
      </c>
      <c r="E55" s="16" t="inlineStr">
        <is>
          <t>なし</t>
        </is>
      </c>
      <c r="F55" s="16" t="inlineStr"/>
      <c r="G55" s="16" t="inlineStr">
        <is>
          <t>イベント・主催者への評価・レビュー機能は公式資料で確認できず</t>
        </is>
      </c>
    </row>
    <row r="56">
      <c r="A56" s="16" t="inlineStr">
        <is>
          <t>Eventbrite</t>
        </is>
      </c>
      <c r="B56" s="16" t="inlineStr">
        <is>
          <t>CR07</t>
        </is>
      </c>
      <c r="C56" s="16" t="inlineStr">
        <is>
          <t>グループチャット・掲示板</t>
        </is>
      </c>
      <c r="D56" s="13" t="inlineStr">
        <is>
          <t>？</t>
        </is>
      </c>
      <c r="E56" s="16" t="inlineStr">
        <is>
          <t>なし</t>
        </is>
      </c>
      <c r="F56" s="16" t="inlineStr"/>
      <c r="G56" s="16" t="inlineStr">
        <is>
          <t>参加者同士のチャット・掲示板は公式資料で確認できず</t>
        </is>
      </c>
    </row>
    <row r="57">
      <c r="A57" s="16" t="inlineStr">
        <is>
          <t>Eventbrite</t>
        </is>
      </c>
      <c r="B57" s="16" t="inlineStr">
        <is>
          <t>CR08</t>
        </is>
      </c>
      <c r="C57" s="16" t="inlineStr">
        <is>
          <t>年間まとめ・振り返り共有</t>
        </is>
      </c>
      <c r="D57" s="13" t="inlineStr">
        <is>
          <t>？</t>
        </is>
      </c>
      <c r="E57" s="16" t="inlineStr">
        <is>
          <t>なし</t>
        </is>
      </c>
      <c r="F57" s="16" t="inlineStr"/>
      <c r="G57" s="16" t="inlineStr">
        <is>
          <t>年間まとめ・振り返り共有は公式資料で確認できず</t>
        </is>
      </c>
    </row>
    <row r="58">
      <c r="A58" s="16" t="inlineStr">
        <is>
          <t>Eventbrite</t>
        </is>
      </c>
      <c r="B58" s="16" t="inlineStr">
        <is>
          <t>TS01</t>
        </is>
      </c>
      <c r="C58" s="16" t="inlineStr">
        <is>
          <t>本人確認・認証</t>
        </is>
      </c>
      <c r="D58" s="13" t="inlineStr">
        <is>
          <t>△</t>
        </is>
      </c>
      <c r="E58" s="16" t="inlineStr">
        <is>
          <t>公式</t>
        </is>
      </c>
      <c r="F58" s="17" t="inlineStr">
        <is>
          <t>https://www.eventbrite.com/help/en-us/search/?q=verify%20identity%20payouts</t>
        </is>
      </c>
      <c r="G58" s="16" t="inlineStr">
        <is>
          <t>主催者のKYC(Stripe経由で本人・口座を確認、AU/CA/UK/US)。参加者の本人確認は確認できず</t>
        </is>
      </c>
    </row>
    <row r="59">
      <c r="A59" s="16" t="inlineStr">
        <is>
          <t>Eventbrite</t>
        </is>
      </c>
      <c r="B59" s="16" t="inlineStr">
        <is>
          <t>TS02</t>
        </is>
      </c>
      <c r="C59" s="16" t="inlineStr">
        <is>
          <t>主催者の審査・認定</t>
        </is>
      </c>
      <c r="D59" s="13" t="inlineStr">
        <is>
          <t>✅</t>
        </is>
      </c>
      <c r="E59" s="16" t="inlineStr">
        <is>
          <t>公式</t>
        </is>
      </c>
      <c r="F59" s="17" t="inlineStr">
        <is>
          <t>https://www.eventbrite.com/blog/whats-next-at-eventbrite/</t>
        </is>
      </c>
      <c r="G59" s="16" t="inlineStr">
        <is>
          <t>Top Organizer バッジ(2026-04)。イベントページにも表示(実機)。付与基準は公開されていない</t>
        </is>
      </c>
    </row>
    <row r="60">
      <c r="A60" s="16" t="inlineStr">
        <is>
          <t>Eventbrite</t>
        </is>
      </c>
      <c r="B60" s="16" t="inlineStr">
        <is>
          <t>TS03</t>
        </is>
      </c>
      <c r="C60" s="16" t="inlineStr">
        <is>
          <t>通報・ブロック・モデレーション</t>
        </is>
      </c>
      <c r="D60" s="13" t="inlineStr">
        <is>
          <t>✅</t>
        </is>
      </c>
      <c r="E60" s="16" t="inlineStr">
        <is>
          <t>実機</t>
        </is>
      </c>
      <c r="F60" s="17" t="inlineStr">
        <is>
          <t>https://www.eventbrite.com/e/out-abt-halloween-edition-tickets-1996989228540</t>
        </is>
      </c>
      <c r="G60" s="16" t="inlineStr">
        <is>
          <t>イベントページに Report this event、Community Guidelines あり。運営による対処手順の詳細は未確認</t>
        </is>
      </c>
    </row>
    <row r="61">
      <c r="A61" s="16" t="inlineStr">
        <is>
          <t>Eventbrite</t>
        </is>
      </c>
      <c r="B61" s="16" t="inlineStr">
        <is>
          <t>TS04</t>
        </is>
      </c>
      <c r="C61" s="16" t="inlineStr">
        <is>
          <t>ドタキャン対策</t>
        </is>
      </c>
      <c r="D61" s="13" t="inlineStr">
        <is>
          <t>✅</t>
        </is>
      </c>
      <c r="E61" s="16" t="inlineStr">
        <is>
          <t>公式</t>
        </is>
      </c>
      <c r="F61" s="17" t="inlineStr">
        <is>
          <t>https://www.eventbrite.com/help/en-us/articles/721549/can-i-get-a-refund/</t>
        </is>
      </c>
      <c r="G61" s="16" t="inlineStr">
        <is>
          <t>主催者が返金ポリシーを設定しイベントページに表示(例: No refunds)。決済は前払い。欠席料・デポジットは確認できず</t>
        </is>
      </c>
    </row>
    <row r="62">
      <c r="A62" s="16" t="inlineStr">
        <is>
          <t>Eventbrite</t>
        </is>
      </c>
      <c r="B62" s="16" t="inlineStr">
        <is>
          <t>TS05</t>
        </is>
      </c>
      <c r="C62" s="16" t="inlineStr">
        <is>
          <t>参加者情報の保護</t>
        </is>
      </c>
      <c r="D62" s="13" t="inlineStr">
        <is>
          <t>？</t>
        </is>
      </c>
      <c r="E62" s="16" t="inlineStr">
        <is>
          <t>なし</t>
        </is>
      </c>
      <c r="F62" s="16" t="inlineStr"/>
      <c r="G62" s="16" t="inlineStr">
        <is>
          <t>参加者一覧の限定公開・匿名表示の設定は公式資料で確認できず</t>
        </is>
      </c>
    </row>
    <row r="63">
      <c r="A63" s="16" t="inlineStr">
        <is>
          <t>Eventbrite</t>
        </is>
      </c>
      <c r="B63" s="16" t="inlineStr">
        <is>
          <t>TS06</t>
        </is>
      </c>
      <c r="C63" s="16" t="inlineStr">
        <is>
          <t>直接取引の抑止</t>
        </is>
      </c>
      <c r="D63" s="13" t="inlineStr">
        <is>
          <t>△</t>
        </is>
      </c>
      <c r="E63" s="16" t="inlineStr">
        <is>
          <t>公式</t>
        </is>
      </c>
      <c r="F63" s="17" t="inlineStr">
        <is>
          <t>https://www.eventbrite.com/help/en-us/search/?q=approve%20registrations%20manually</t>
        </is>
      </c>
      <c r="G63" s="16" t="inlineStr">
        <is>
          <t>非イベント規約でイベントは Eventbrite で登録・発券を提供する必要があると定める(ヘルプ検索結果)。外部誘導の禁止全般は未確認</t>
        </is>
      </c>
    </row>
    <row r="64">
      <c r="A64" s="16" t="inlineStr">
        <is>
          <t>Eventbrite</t>
        </is>
      </c>
      <c r="B64" s="16" t="inlineStr">
        <is>
          <t>FD01</t>
        </is>
      </c>
      <c r="C64" s="16" t="inlineStr">
        <is>
          <t>メニューの事前注文・選択</t>
        </is>
      </c>
      <c r="D64" s="13" t="inlineStr">
        <is>
          <t>△</t>
        </is>
      </c>
      <c r="E64" s="16" t="inlineStr">
        <is>
          <t>公式</t>
        </is>
      </c>
      <c r="F64" s="17" t="inlineStr">
        <is>
          <t>https://www.eventbrite.com/organizer/features/all-features/</t>
        </is>
      </c>
      <c r="G64" s="16" t="inlineStr">
        <is>
          <t>Sell Merchandise(アドオン)で非チケット商品を追加販売できる。料理・ドリンクの選択専用機能は確認できず</t>
        </is>
      </c>
    </row>
    <row r="65">
      <c r="A65" s="16" t="inlineStr">
        <is>
          <t>Eventbrite</t>
        </is>
      </c>
      <c r="B65" s="16" t="inlineStr">
        <is>
          <t>FD02</t>
        </is>
      </c>
      <c r="C65" s="16" t="inlineStr">
        <is>
          <t>アレルギー・食の好みの登録</t>
        </is>
      </c>
      <c r="D65" s="13" t="inlineStr">
        <is>
          <t>△</t>
        </is>
      </c>
      <c r="E65" s="16" t="inlineStr">
        <is>
          <t>公式</t>
        </is>
      </c>
      <c r="F65" s="17" t="inlineStr">
        <is>
          <t>https://www.eventbrite.com/organizer/features/all-features/</t>
        </is>
      </c>
      <c r="G65" s="16" t="inlineStr">
        <is>
          <t>カスタム登録フォームで質問(食事制限等)を収集できる。専用のアレルギー管理・店舗共有機能は確認できず</t>
        </is>
      </c>
    </row>
    <row r="66">
      <c r="A66" s="16" t="inlineStr">
        <is>
          <t>Eventbrite</t>
        </is>
      </c>
      <c r="B66" s="16" t="inlineStr">
        <is>
          <t>FD03</t>
        </is>
      </c>
      <c r="C66" s="16" t="inlineStr">
        <is>
          <t>店舗向け管理画面</t>
        </is>
      </c>
      <c r="D66" s="13" t="inlineStr">
        <is>
          <t>△</t>
        </is>
      </c>
      <c r="E66" s="16" t="inlineStr">
        <is>
          <t>公式</t>
        </is>
      </c>
      <c r="F66" s="17" t="inlineStr">
        <is>
          <t>https://www.eventbrite.com/organizer/event-industry/food-drink-event-ticketing/</t>
        </is>
      </c>
      <c r="G66" s="16" t="inlineStr">
        <is>
          <t>汎用の主催者ダッシュボードで代替(シェフのポップアップ等の飲食イベント向けページはあるが店舗専用の管理画面ではない)</t>
        </is>
      </c>
    </row>
    <row r="67">
      <c r="A67" s="16" t="inlineStr">
        <is>
          <t>Eventbrite</t>
        </is>
      </c>
      <c r="B67" s="16" t="inlineStr">
        <is>
          <t>FD04</t>
        </is>
      </c>
      <c r="C67" s="16" t="inlineStr">
        <is>
          <t>人数確定の店舗通知・集計</t>
        </is>
      </c>
      <c r="D67" s="13" t="inlineStr">
        <is>
          <t>？</t>
        </is>
      </c>
      <c r="E67" s="16" t="inlineStr">
        <is>
          <t>なし</t>
        </is>
      </c>
      <c r="F67" s="16" t="inlineStr"/>
      <c r="G67" s="16" t="inlineStr">
        <is>
          <t>人数・注文の店舗への自動通知・仕込み数集計は公式資料で確認できず</t>
        </is>
      </c>
    </row>
    <row r="68">
      <c r="A68" s="16" t="inlineStr">
        <is>
          <t>Eventbrite</t>
        </is>
      </c>
      <c r="B68" s="16" t="inlineStr">
        <is>
          <t>FD05</t>
        </is>
      </c>
      <c r="C68" s="16" t="inlineStr">
        <is>
          <t>席の確保・貸切の連携</t>
        </is>
      </c>
      <c r="D68" s="13" t="inlineStr">
        <is>
          <t>△</t>
        </is>
      </c>
      <c r="E68" s="16" t="inlineStr">
        <is>
          <t>公式</t>
        </is>
      </c>
      <c r="F68" s="17" t="inlineStr">
        <is>
          <t>https://www.eventbrite.com/organizer/features/all-features/</t>
        </is>
      </c>
      <c r="G68" s="16" t="inlineStr">
        <is>
          <t>Reserved Seating(座席表)と Timed Entry。店舗の席・貸切管理との連動は確認できず</t>
        </is>
      </c>
    </row>
    <row r="69">
      <c r="A69" s="16" t="inlineStr">
        <is>
          <t>Eventbrite</t>
        </is>
      </c>
      <c r="B69" s="16" t="inlineStr">
        <is>
          <t>FD06</t>
        </is>
      </c>
      <c r="C69" s="16" t="inlineStr">
        <is>
          <t>コース・固定メニュー</t>
        </is>
      </c>
      <c r="D69" s="13" t="inlineStr">
        <is>
          <t>？</t>
        </is>
      </c>
      <c r="E69" s="16" t="inlineStr">
        <is>
          <t>なし</t>
        </is>
      </c>
      <c r="F69" s="16" t="inlineStr"/>
      <c r="G69" s="16" t="inlineStr">
        <is>
          <t>コース・固定メニューを選ぶ機能は公式資料で確認できず</t>
        </is>
      </c>
    </row>
    <row r="70">
      <c r="A70" s="16" t="inlineStr">
        <is>
          <t>Eventbrite</t>
        </is>
      </c>
      <c r="B70" s="16" t="inlineStr">
        <is>
          <t>FD07</t>
        </is>
      </c>
      <c r="C70" s="16" t="inlineStr">
        <is>
          <t>割り勘・個別会計</t>
        </is>
      </c>
      <c r="D70" s="13" t="inlineStr">
        <is>
          <t>？</t>
        </is>
      </c>
      <c r="E70" s="16" t="inlineStr">
        <is>
          <t>なし</t>
        </is>
      </c>
      <c r="F70" s="16" t="inlineStr"/>
      <c r="G70" s="16" t="inlineStr">
        <is>
          <t>割り勘・個別会計は公式資料で確認できず</t>
        </is>
      </c>
    </row>
    <row r="71">
      <c r="A71" s="16" t="inlineStr">
        <is>
          <t>Eventbrite</t>
        </is>
      </c>
      <c r="B71" s="16" t="inlineStr">
        <is>
          <t>FD08</t>
        </is>
      </c>
      <c r="C71" s="16" t="inlineStr">
        <is>
          <t>店探し・店選び支援</t>
        </is>
      </c>
      <c r="D71" s="13" t="inlineStr">
        <is>
          <t>？</t>
        </is>
      </c>
      <c r="E71" s="16" t="inlineStr">
        <is>
          <t>なし</t>
        </is>
      </c>
      <c r="F71" s="16" t="inlineStr"/>
      <c r="G71" s="16" t="inlineStr">
        <is>
          <t>店探し・店選びの支援は確認できず(Food &amp; Drink カテゴリはイベントの絞り込みで、店舗比較ではない)</t>
        </is>
      </c>
    </row>
    <row r="72">
      <c r="A72" s="16" t="inlineStr">
        <is>
          <t>Eventbrite</t>
        </is>
      </c>
      <c r="B72" s="16" t="inlineStr">
        <is>
          <t>FD09</t>
        </is>
      </c>
      <c r="C72" s="16" t="inlineStr">
        <is>
          <t>売り切れ・限定数の管理</t>
        </is>
      </c>
      <c r="D72" s="13" t="inlineStr">
        <is>
          <t>✅</t>
        </is>
      </c>
      <c r="E72" s="16" t="inlineStr">
        <is>
          <t>公式</t>
        </is>
      </c>
      <c r="F72" s="17" t="inlineStr">
        <is>
          <t>https://www.eventbrite.com/help/en-us/articles/362073/permissions-definitions/</t>
        </is>
      </c>
      <c r="G72" s="16" t="inlineStr">
        <is>
          <t>チケット種別ごとの数量・容量、チケットホールド、アドオンの管理、数量/容量の上書き(アプリ)</t>
        </is>
      </c>
    </row>
    <row r="73">
      <c r="A73" s="16" t="inlineStr">
        <is>
          <t>Eventbrite</t>
        </is>
      </c>
      <c r="B73" s="16" t="inlineStr">
        <is>
          <t>FD10</t>
        </is>
      </c>
      <c r="C73" s="16" t="inlineStr">
        <is>
          <t>提供形態の選択</t>
        </is>
      </c>
      <c r="D73" s="13" t="inlineStr">
        <is>
          <t>？</t>
        </is>
      </c>
      <c r="E73" s="16" t="inlineStr">
        <is>
          <t>なし</t>
        </is>
      </c>
      <c r="F73" s="16" t="inlineStr"/>
      <c r="G73" s="16" t="inlineStr">
        <is>
          <t>イートイン・テイクアウト等の提供形態の選択は公式資料で確認できず</t>
        </is>
      </c>
    </row>
    <row r="74">
      <c r="A74" s="16" t="inlineStr">
        <is>
          <t>Eventbrite</t>
        </is>
      </c>
      <c r="B74" s="16" t="inlineStr">
        <is>
          <t>MN01</t>
        </is>
      </c>
      <c r="C74" s="16" t="inlineStr">
        <is>
          <t>手数料の明示</t>
        </is>
      </c>
      <c r="D74" s="13" t="inlineStr">
        <is>
          <t>✅</t>
        </is>
      </c>
      <c r="E74" s="16" t="inlineStr">
        <is>
          <t>公式</t>
        </is>
      </c>
      <c r="F74" s="17" t="inlineStr">
        <is>
          <t>https://www.eventbrite.com/organizer/pricing/</t>
        </is>
      </c>
      <c r="G74" s="16" t="inlineStr">
        <is>
          <t>有料チケットは3.7%+$1.79/枚、決済2.9%/注文(米国)と公開。購入者負担が既定。競合は買収後も据え置きと報告[競合発信]</t>
        </is>
      </c>
    </row>
    <row r="75">
      <c r="A75" s="16" t="inlineStr">
        <is>
          <t>Eventbrite</t>
        </is>
      </c>
      <c r="B75" s="16" t="inlineStr">
        <is>
          <t>MN02</t>
        </is>
      </c>
      <c r="C75" s="16" t="inlineStr">
        <is>
          <t>主催者向け有料プラン</t>
        </is>
      </c>
      <c r="D75" s="13" t="inlineStr">
        <is>
          <t>✅</t>
        </is>
      </c>
      <c r="E75" s="16" t="inlineStr">
        <is>
          <t>公式</t>
        </is>
      </c>
      <c r="F75" s="17" t="inlineStr">
        <is>
          <t>https://www.eventbrite.com/help/en-us/articles/193833/eventbrites-new-pricing-plans/</t>
        </is>
      </c>
      <c r="G75" s="16" t="inlineStr">
        <is>
          <t>Eventbrite Premium(米国 月$69・年$708)。Pro は新規受付終了(旧プラン)。料金ページはProのメール配信を月$15〜と記載しており2資料で食い違い</t>
        </is>
      </c>
    </row>
    <row r="76">
      <c r="A76" s="16" t="inlineStr">
        <is>
          <t>Eventbrite</t>
        </is>
      </c>
      <c r="B76" s="16" t="inlineStr">
        <is>
          <t>MN03</t>
        </is>
      </c>
      <c r="C76" s="16" t="inlineStr">
        <is>
          <t>任意チップ・寄付</t>
        </is>
      </c>
      <c r="D76" s="13" t="inlineStr">
        <is>
          <t>△</t>
        </is>
      </c>
      <c r="E76" s="16" t="inlineStr">
        <is>
          <t>公式</t>
        </is>
      </c>
      <c r="F76" s="17" t="inlineStr">
        <is>
          <t>https://www.eventbrite.com/help/en-us/articles/460357/how-to-fundraise-and-collect-donations-with-eventbrite/</t>
        </is>
      </c>
      <c r="G76" s="16" t="inlineStr">
        <is>
          <t>Donation チケット種別で購入者が任意金額を決められる。カリフォルニア州では利用不可、寄付額に応じて手数料あり</t>
        </is>
      </c>
    </row>
    <row r="77">
      <c r="A77" s="16" t="inlineStr">
        <is>
          <t>Eventbrite</t>
        </is>
      </c>
      <c r="B77" s="16" t="inlineStr">
        <is>
          <t>MN04</t>
        </is>
      </c>
      <c r="C77" s="16" t="inlineStr">
        <is>
          <t>クーポン・割引コード</t>
        </is>
      </c>
      <c r="D77" s="13" t="inlineStr">
        <is>
          <t>✅</t>
        </is>
      </c>
      <c r="E77" s="16" t="inlineStr">
        <is>
          <t>公式</t>
        </is>
      </c>
      <c r="F77" s="17" t="inlineStr">
        <is>
          <t>https://www.eventbrite.com/organizer/features/all-features/</t>
        </is>
      </c>
      <c r="G77" s="16" t="inlineStr">
        <is>
          <t>Promo Codes(割引・早割・限定アクセス)、Early Bird Tickets、Group Tickets</t>
        </is>
      </c>
    </row>
    <row r="78">
      <c r="A78" s="16" t="inlineStr">
        <is>
          <t>Eventbrite</t>
        </is>
      </c>
      <c r="B78" s="16" t="inlineStr">
        <is>
          <t>MN05</t>
        </is>
      </c>
      <c r="C78" s="16" t="inlineStr">
        <is>
          <t>ポイント・会員特典</t>
        </is>
      </c>
      <c r="D78" s="13" t="inlineStr">
        <is>
          <t>？</t>
        </is>
      </c>
      <c r="E78" s="16" t="inlineStr">
        <is>
          <t>なし</t>
        </is>
      </c>
      <c r="F78" s="16" t="inlineStr"/>
      <c r="G78" s="16" t="inlineStr">
        <is>
          <t>ポイント・ロイヤルティ・会員特典は公式資料で確認できず(Premium は主催者向けプラン)</t>
        </is>
      </c>
    </row>
    <row r="79">
      <c r="A79" s="16" t="inlineStr">
        <is>
          <t>Meetup</t>
        </is>
      </c>
      <c r="B79" s="16" t="inlineStr">
        <is>
          <t>DS01</t>
        </is>
      </c>
      <c r="C79" s="16" t="inlineStr">
        <is>
          <t>キーワード・カテゴリ検索</t>
        </is>
      </c>
      <c r="D79" s="13" t="inlineStr">
        <is>
          <t>✅</t>
        </is>
      </c>
      <c r="E79" s="16" t="inlineStr">
        <is>
          <t>公式</t>
        </is>
      </c>
      <c r="F79" s="17" t="inlineStr">
        <is>
          <t>https://help.meetup.com/hc/en-us/articles/39235072484109-Finding-an-event</t>
        </is>
      </c>
      <c r="G79" s="16" t="inlineStr">
        <is>
          <t>Find ページの検索バーでキーワード検索(グループ名・説明に一致)、グループカテゴリで絞り込める</t>
        </is>
      </c>
    </row>
    <row r="80">
      <c r="A80" s="16" t="inlineStr">
        <is>
          <t>Meetup</t>
        </is>
      </c>
      <c r="B80" s="16" t="inlineStr">
        <is>
          <t>DS02</t>
        </is>
      </c>
      <c r="C80" s="16" t="inlineStr">
        <is>
          <t>地域・地図検索</t>
        </is>
      </c>
      <c r="D80" s="13" t="inlineStr">
        <is>
          <t>✅</t>
        </is>
      </c>
      <c r="E80" s="16" t="inlineStr">
        <is>
          <t>公式</t>
        </is>
      </c>
      <c r="F80" s="17" t="inlineStr">
        <is>
          <t>https://help.meetup.com/hc/en-us/articles/39235072484109-Finding-an-event</t>
        </is>
      </c>
      <c r="G80" s="16" t="inlineStr">
        <is>
          <t>位置情報ベースの表示と距離フィルタ(2〜100マイル)。国をまたぐ検索は都市単位。イベントに会場ピン(地図)を設定可。グロース根拠あり(創業期の ZIP×トピックで5人から成立する設計[2002年〜])</t>
        </is>
      </c>
    </row>
    <row r="81">
      <c r="A81" s="16" t="inlineStr">
        <is>
          <t>Meetup</t>
        </is>
      </c>
      <c r="B81" s="16" t="inlineStr">
        <is>
          <t>DS03</t>
        </is>
      </c>
      <c r="C81" s="16" t="inlineStr">
        <is>
          <t>日付・価格等の絞り込み</t>
        </is>
      </c>
      <c r="D81" s="13" t="inlineStr">
        <is>
          <t>△</t>
        </is>
      </c>
      <c r="E81" s="16" t="inlineStr">
        <is>
          <t>公式</t>
        </is>
      </c>
      <c r="F81" s="17" t="inlineStr">
        <is>
          <t>https://help.meetup.com/hc/en-us/articles/39235072484109-Finding-an-event</t>
        </is>
      </c>
      <c r="G81" s="16" t="inlineStr">
        <is>
          <t>日付範囲・種別(オンライン/対面)・距離・カテゴリで絞り込み、アプリは時間帯も可。価格での絞り込みは記載なし</t>
        </is>
      </c>
    </row>
    <row r="82">
      <c r="A82" s="16" t="inlineStr">
        <is>
          <t>Meetup</t>
        </is>
      </c>
      <c r="B82" s="16" t="inlineStr">
        <is>
          <t>DS04</t>
        </is>
      </c>
      <c r="C82" s="16" t="inlineStr">
        <is>
          <t>パーソナライズ推薦</t>
        </is>
      </c>
      <c r="D82" s="13" t="inlineStr">
        <is>
          <t>✅</t>
        </is>
      </c>
      <c r="E82" s="16" t="inlineStr">
        <is>
          <t>公式</t>
        </is>
      </c>
      <c r="F82" s="17" t="inlineStr">
        <is>
          <t>https://help.meetup.com/hc/en-us/articles/39489043789325-How-can-I-improve-visibility-for-my-events-and-groups</t>
        </is>
      </c>
      <c r="G82" s="16" t="inlineStr">
        <is>
          <t>個人の好みと過去の行動に基づく personalized recommendation model で新規イベントを提案する、と公式ヘルプに記載</t>
        </is>
      </c>
    </row>
    <row r="83">
      <c r="A83" s="16" t="inlineStr">
        <is>
          <t>Meetup</t>
        </is>
      </c>
      <c r="B83" s="16" t="inlineStr">
        <is>
          <t>DS05</t>
        </is>
      </c>
      <c r="C83" s="16" t="inlineStr">
        <is>
          <t>フォロー</t>
        </is>
      </c>
      <c r="D83" s="13" t="inlineStr">
        <is>
          <t>✅</t>
        </is>
      </c>
      <c r="E83" s="16" t="inlineStr">
        <is>
          <t>公式</t>
        </is>
      </c>
      <c r="F83" s="17" t="inlineStr">
        <is>
          <t>https://help.meetup.com/hc/en-us/articles/39792225676813-Announcing-your-events</t>
        </is>
      </c>
      <c r="G83" s="16" t="inlineStr">
        <is>
          <t>グループに参加(メンバー化)すると新規イベントの通知を受け取る。専用の「フォロー」ボタン名は確認できず</t>
        </is>
      </c>
    </row>
    <row r="84">
      <c r="A84" s="16" t="inlineStr">
        <is>
          <t>Meetup</t>
        </is>
      </c>
      <c r="B84" s="16" t="inlineStr">
        <is>
          <t>DS06</t>
        </is>
      </c>
      <c r="C84" s="16" t="inlineStr">
        <is>
          <t>ブックマーク・ウィッシュリスト</t>
        </is>
      </c>
      <c r="D84" s="13" t="inlineStr">
        <is>
          <t>✅</t>
        </is>
      </c>
      <c r="E84" s="16" t="inlineStr">
        <is>
          <t>公式</t>
        </is>
      </c>
      <c r="F84" s="17" t="inlineStr">
        <is>
          <t>https://help.meetup.com/hc/en-us/articles/39235072484109-Finding-an-event</t>
        </is>
      </c>
      <c r="G84" s="16" t="inlineStr">
        <is>
          <t>Your events ページに Saved フィルタ(保存したイベント)、アプリのカレンダーにも Events you've saved</t>
        </is>
      </c>
    </row>
    <row r="85">
      <c r="A85" s="16" t="inlineStr">
        <is>
          <t>Meetup</t>
        </is>
      </c>
      <c r="B85" s="16" t="inlineStr">
        <is>
          <t>DS07</t>
        </is>
      </c>
      <c r="C85" s="16" t="inlineStr">
        <is>
          <t>公開ディレクトリ・都市×カテゴリページ</t>
        </is>
      </c>
      <c r="D85" s="13" t="inlineStr">
        <is>
          <t>✅</t>
        </is>
      </c>
      <c r="E85" s="16" t="inlineStr">
        <is>
          <t>公式</t>
        </is>
      </c>
      <c r="F85" s="17" t="inlineStr">
        <is>
          <t>https://www.meetup.com/</t>
        </is>
      </c>
      <c r="G85" s="16" t="inlineStr">
        <is>
          <t>ホームから /cities(都市別)・/topics(トピック別)・都市×カテゴリの find ページへ導線。「トピック×都市ページが検索で強い」という通説は裏づけなし(既存ノート)</t>
        </is>
      </c>
    </row>
    <row r="86">
      <c r="A86" s="16" t="inlineStr">
        <is>
          <t>Meetup</t>
        </is>
      </c>
      <c r="B86" s="16" t="inlineStr">
        <is>
          <t>DS08</t>
        </is>
      </c>
      <c r="C86" s="16" t="inlineStr">
        <is>
          <t>キュレーション・特集</t>
        </is>
      </c>
      <c r="D86" s="13" t="inlineStr">
        <is>
          <t>△</t>
        </is>
      </c>
      <c r="E86" s="16" t="inlineStr">
        <is>
          <t>公式</t>
        </is>
      </c>
      <c r="F86" s="17" t="inlineStr">
        <is>
          <t>https://www.meetup.com/</t>
        </is>
      </c>
      <c r="G86" s="16" t="inlineStr">
        <is>
          <t>ホームに Local guides などのブログカテゴリ(編集コンテンツ)あり。運営の手動ランキング・特集の運用は確認できず</t>
        </is>
      </c>
    </row>
    <row r="87">
      <c r="A87" s="16" t="inlineStr">
        <is>
          <t>Meetup</t>
        </is>
      </c>
      <c r="B87" s="16" t="inlineStr">
        <is>
          <t>JN01</t>
        </is>
      </c>
      <c r="C87" s="16" t="inlineStr">
        <is>
          <t>アカウント不要の申込</t>
        </is>
      </c>
      <c r="D87" s="13" t="inlineStr">
        <is>
          <t>❌</t>
        </is>
      </c>
      <c r="E87" s="16" t="inlineStr">
        <is>
          <t>公式</t>
        </is>
      </c>
      <c r="F87" s="17" t="inlineStr">
        <is>
          <t>https://help.meetup.com/hc/en-us/articles/360003883411-Enable-a-Waitlist-for-your-Meetup-event</t>
        </is>
      </c>
      <c r="G87" s="16" t="inlineStr">
        <is>
          <t>グループの会員のみイベントに参加可と明記。RSVPすると自動でグループ会員になる(Finding an event)ため、アカウントが必須</t>
        </is>
      </c>
    </row>
    <row r="88">
      <c r="A88" s="16" t="inlineStr">
        <is>
          <t>Meetup</t>
        </is>
      </c>
      <c r="B88" s="16" t="inlineStr">
        <is>
          <t>JN02</t>
        </is>
      </c>
      <c r="C88" s="16" t="inlineStr">
        <is>
          <t>簡易ログイン</t>
        </is>
      </c>
      <c r="D88" s="13" t="inlineStr">
        <is>
          <t>✅</t>
        </is>
      </c>
      <c r="E88" s="16" t="inlineStr">
        <is>
          <t>実機</t>
        </is>
      </c>
      <c r="F88" s="17" t="inlineStr">
        <is>
          <t>https://www.meetup.com/login/</t>
        </is>
      </c>
      <c r="G88" s="16" t="inlineStr">
        <is>
          <t>Google・Apple・Facebook でのログインとメールログインを確認(2026-10)</t>
        </is>
      </c>
    </row>
    <row r="89">
      <c r="A89" s="16" t="inlineStr">
        <is>
          <t>Meetup</t>
        </is>
      </c>
      <c r="B89" s="16" t="inlineStr">
        <is>
          <t>JN03</t>
        </is>
      </c>
      <c r="C89" s="16" t="inlineStr">
        <is>
          <t>承認制・参加申請</t>
        </is>
      </c>
      <c r="D89" s="13" t="inlineStr">
        <is>
          <t>✅</t>
        </is>
      </c>
      <c r="E89" s="16" t="inlineStr">
        <is>
          <t>公式</t>
        </is>
      </c>
      <c r="F89" s="17" t="inlineStr">
        <is>
          <t>https://help.meetup.com/hc/en-us/articles/360002878091-Controlling-who-joins-a-Meetup-group</t>
        </is>
      </c>
      <c r="G89" s="16" t="inlineStr">
        <is>
          <t>新規メンバーの手動承認(New member approval)、プロフィール写真必須、最大5問のプロフィール質問。承認はイベント単位ではなくグループ単位</t>
        </is>
      </c>
    </row>
    <row r="90">
      <c r="A90" s="16" t="inlineStr">
        <is>
          <t>Meetup</t>
        </is>
      </c>
      <c r="B90" s="16" t="inlineStr">
        <is>
          <t>JN04</t>
        </is>
      </c>
      <c r="C90" s="16" t="inlineStr">
        <is>
          <t>ウェイトリスト</t>
        </is>
      </c>
      <c r="D90" s="13" t="inlineStr">
        <is>
          <t>△</t>
        </is>
      </c>
      <c r="E90" s="16" t="inlineStr">
        <is>
          <t>公式</t>
        </is>
      </c>
      <c r="F90" s="17" t="inlineStr">
        <is>
          <t>https://help.meetup.com/hc/en-us/articles/360003883411-Enable-a-Waitlist-for-your-Meetup-event</t>
        </is>
      </c>
      <c r="G90" s="16" t="inlineStr">
        <is>
          <t>定員設定があるイベントで自動ウェイトリスト。必須参加費ありのイベントでは設定不可。Meetup+会員が繰り上げで優先</t>
        </is>
      </c>
    </row>
    <row r="91">
      <c r="A91" s="16" t="inlineStr">
        <is>
          <t>Meetup</t>
        </is>
      </c>
      <c r="B91" s="16" t="inlineStr">
        <is>
          <t>JN05</t>
        </is>
      </c>
      <c r="C91" s="16" t="inlineStr">
        <is>
          <t>定員・残席の表示</t>
        </is>
      </c>
      <c r="D91" s="13" t="inlineStr">
        <is>
          <t>✅</t>
        </is>
      </c>
      <c r="E91" s="16" t="inlineStr">
        <is>
          <t>公式</t>
        </is>
      </c>
      <c r="F91" s="17" t="inlineStr">
        <is>
          <t>https://help.meetup.com/hc/en-us/articles/39790436736525-Creating-an-event</t>
        </is>
      </c>
      <c r="G91" s="16" t="inlineStr">
        <is>
          <t>Attendee limit(定員)を設定でき、ホーム・一覧のイベントカードに参加者数を表示(実機)。残席数の表示は未確認</t>
        </is>
      </c>
    </row>
    <row r="92">
      <c r="A92" s="16" t="inlineStr">
        <is>
          <t>Meetup</t>
        </is>
      </c>
      <c r="B92" s="16" t="inlineStr">
        <is>
          <t>JN06</t>
        </is>
      </c>
      <c r="C92" s="16" t="inlineStr">
        <is>
          <t>追加質問・同行者の入力</t>
        </is>
      </c>
      <c r="D92" s="13" t="inlineStr">
        <is>
          <t>✅</t>
        </is>
      </c>
      <c r="E92" s="16" t="inlineStr">
        <is>
          <t>公式</t>
        </is>
      </c>
      <c r="F92" s="17" t="inlineStr">
        <is>
          <t>https://help.meetup.com/hc/en-us/articles/360022471332-Profile-and-event-questions</t>
        </is>
      </c>
      <c r="G92" s="16" t="inlineStr">
        <is>
          <t>イベント質問(回答は任意)、Allow guests(同行者)、Pro は参加者情報収集。機微情報の収集は非推奨と明記</t>
        </is>
      </c>
    </row>
    <row r="93">
      <c r="A93" s="16" t="inlineStr">
        <is>
          <t>Meetup</t>
        </is>
      </c>
      <c r="B93" s="16" t="inlineStr">
        <is>
          <t>JN07</t>
        </is>
      </c>
      <c r="C93" s="16" t="inlineStr">
        <is>
          <t>参加者のセルフキャンセル</t>
        </is>
      </c>
      <c r="D93" s="13" t="inlineStr">
        <is>
          <t>✅</t>
        </is>
      </c>
      <c r="E93" s="16" t="inlineStr">
        <is>
          <t>公式</t>
        </is>
      </c>
      <c r="F93" s="17" t="inlineStr">
        <is>
          <t>https://help.meetup.com/hc/en-us/articles/44014195643661-Request-a-refund-for-an-event-fee</t>
        </is>
      </c>
      <c r="G93" s="16" t="inlineStr">
        <is>
          <t>RSVP変更・キャンセル(Manage attendance)と、参加費は設定画面から主催者へ返金申請。返金ポリシーは主催者ごと</t>
        </is>
      </c>
    </row>
    <row r="94">
      <c r="A94" s="16" t="inlineStr">
        <is>
          <t>Meetup</t>
        </is>
      </c>
      <c r="B94" s="16" t="inlineStr">
        <is>
          <t>JN08</t>
        </is>
      </c>
      <c r="C94" s="16" t="inlineStr">
        <is>
          <t>カレンダー追加</t>
        </is>
      </c>
      <c r="D94" s="13" t="inlineStr">
        <is>
          <t>✅</t>
        </is>
      </c>
      <c r="E94" s="16" t="inlineStr">
        <is>
          <t>公式</t>
        </is>
      </c>
      <c r="F94" s="17" t="inlineStr">
        <is>
          <t>https://help.meetup.com/hc/en-us/articles/39237118960013-Exporting-an-event-to-your-calendar</t>
        </is>
      </c>
      <c r="G94" s="16" t="inlineStr">
        <is>
          <t>イベント単位の Add to Calendar と、グループのカレンダー購読(開催/RSVPの購読)。RSVPメールの Google カレンダー自動追加(2025)</t>
        </is>
      </c>
    </row>
    <row r="95">
      <c r="A95" s="16" t="inlineStr">
        <is>
          <t>Meetup</t>
        </is>
      </c>
      <c r="B95" s="16" t="inlineStr">
        <is>
          <t>JN09</t>
        </is>
      </c>
      <c r="C95" s="16" t="inlineStr">
        <is>
          <t>開催前リマインド</t>
        </is>
      </c>
      <c r="D95" s="13" t="inlineStr">
        <is>
          <t>✅</t>
        </is>
      </c>
      <c r="E95" s="16" t="inlineStr">
        <is>
          <t>公式</t>
        </is>
      </c>
      <c r="F95" s="17" t="inlineStr">
        <is>
          <t>https://help.meetup.com/hc/en-us/articles/40708711774221-What-notifications-Meetup-can-send</t>
        </is>
      </c>
      <c r="G95" s="16" t="inlineStr">
        <is>
          <t>RSVP済み(Yes/Maybe)の会員へ、通常7日前・1日前・数時間前にリマインド(メール/プッシュ。2025-10 時点の記載)</t>
        </is>
      </c>
    </row>
    <row r="96">
      <c r="A96" s="16" t="inlineStr">
        <is>
          <t>Meetup</t>
        </is>
      </c>
      <c r="B96" s="16" t="inlineStr">
        <is>
          <t>JN10</t>
        </is>
      </c>
      <c r="C96" s="16" t="inlineStr">
        <is>
          <t>QRチケット・当日受付</t>
        </is>
      </c>
      <c r="D96" s="13" t="inlineStr">
        <is>
          <t>△</t>
        </is>
      </c>
      <c r="E96" s="16" t="inlineStr">
        <is>
          <t>公式</t>
        </is>
      </c>
      <c r="F96" s="17" t="inlineStr">
        <is>
          <t>https://help.meetup.com/hc/en-us/articles/45352867716621-Your-event-ticket-and-QR-code</t>
        </is>
      </c>
      <c r="G96" s="16" t="inlineStr">
        <is>
          <t>RSVP確定でQR付きチケットを自動生成。主催者のQRスキャンはモバイルアプリのみ(Webは手動)。Apple/Google Wallet は未対応と明記(2026)</t>
        </is>
      </c>
    </row>
    <row r="97">
      <c r="A97" s="16" t="inlineStr">
        <is>
          <t>Meetup</t>
        </is>
      </c>
      <c r="B97" s="16" t="inlineStr">
        <is>
          <t>JN11</t>
        </is>
      </c>
      <c r="C97" s="16" t="inlineStr">
        <is>
          <t>参加者一覧の閲覧</t>
        </is>
      </c>
      <c r="D97" s="13" t="inlineStr">
        <is>
          <t>△</t>
        </is>
      </c>
      <c r="E97" s="16" t="inlineStr">
        <is>
          <t>公式</t>
        </is>
      </c>
      <c r="F97" s="17" t="inlineStr">
        <is>
          <t>https://help.meetup.com/hc/en-us/articles/34744060726669-Meetup-vs-Free-Plan-Members-Key-Differences-and-Benefits</t>
        </is>
      </c>
      <c r="G97" s="16" t="inlineStr">
        <is>
          <t>出席者リスト・グループ会員リスト・Who will be there は Meetup+(有料)でフルアクセス、無料プランは制限あり</t>
        </is>
      </c>
    </row>
    <row r="98">
      <c r="A98" s="16" t="inlineStr">
        <is>
          <t>Meetup</t>
        </is>
      </c>
      <c r="B98" s="16" t="inlineStr">
        <is>
          <t>JN12</t>
        </is>
      </c>
      <c r="C98" s="16" t="inlineStr">
        <is>
          <t>イベント後の体験</t>
        </is>
      </c>
      <c r="D98" s="13" t="inlineStr">
        <is>
          <t>✅</t>
        </is>
      </c>
      <c r="E98" s="16" t="inlineStr">
        <is>
          <t>公式</t>
        </is>
      </c>
      <c r="F98" s="17" t="inlineStr">
        <is>
          <t>https://help.meetup.com/hc/en-us/articles/360013054151-Viewing-event-feedback-from-members</t>
        </is>
      </c>
      <c r="G98" s="16" t="inlineStr">
        <is>
          <t>イベント後に評価・レビューを依頼(2025-04 以降は公開)。イベント写真アルバム、イベントチャットも終了後しばらく利用可</t>
        </is>
      </c>
    </row>
    <row r="99">
      <c r="A99" s="16" t="inlineStr">
        <is>
          <t>Meetup</t>
        </is>
      </c>
      <c r="B99" s="16" t="inlineStr">
        <is>
          <t>SH01</t>
        </is>
      </c>
      <c r="C99" s="16" t="inlineStr">
        <is>
          <t>共有用URL・OGPカード</t>
        </is>
      </c>
      <c r="D99" s="13" t="inlineStr">
        <is>
          <t>✅</t>
        </is>
      </c>
      <c r="E99" s="16" t="inlineStr">
        <is>
          <t>実機</t>
        </is>
      </c>
      <c r="F99" s="17" t="inlineStr">
        <is>
          <t>https://www.meetup.com/ja/tokyo-international-party-shibuya/events/315750739/</t>
        </is>
      </c>
      <c r="G99" s="16" t="inlineStr">
        <is>
          <t>og:title・og:description・og:image と schema.org(FoodEvent・BreadcrumbList)を確認。Share a flyer ボタンあり(2026-10 実機)</t>
        </is>
      </c>
    </row>
    <row r="100">
      <c r="A100" s="16" t="inlineStr">
        <is>
          <t>Meetup</t>
        </is>
      </c>
      <c r="B100" s="16" t="inlineStr">
        <is>
          <t>SH02</t>
        </is>
      </c>
      <c r="C100" s="16" t="inlineStr">
        <is>
          <t>SNS・メッセージ共有ボタン</t>
        </is>
      </c>
      <c r="D100" s="13" t="inlineStr">
        <is>
          <t>✅</t>
        </is>
      </c>
      <c r="E100" s="16" t="inlineStr">
        <is>
          <t>公式</t>
        </is>
      </c>
      <c r="F100" s="17" t="inlineStr">
        <is>
          <t>https://help.meetup.com/hc/en-us/articles/360002882691-Sharing-an-event-on-social-media</t>
        </is>
      </c>
      <c r="G100" s="16" t="inlineStr">
        <is>
          <t>イベント共有で Facebook・Twitter・LinkedIn へ直接投稿またはリンクコピー、フライヤー保存(Webのみ)。LINE・WhatsApp 専用ボタンは確認できず</t>
        </is>
      </c>
    </row>
    <row r="101">
      <c r="A101" s="16" t="inlineStr">
        <is>
          <t>Meetup</t>
        </is>
      </c>
      <c r="B101" s="16" t="inlineStr">
        <is>
          <t>SH03</t>
        </is>
      </c>
      <c r="C101" s="16" t="inlineStr">
        <is>
          <t>友人・同行者の招待導線</t>
        </is>
      </c>
      <c r="D101" s="13" t="inlineStr">
        <is>
          <t>△</t>
        </is>
      </c>
      <c r="E101" s="16" t="inlineStr">
        <is>
          <t>公式</t>
        </is>
      </c>
      <c r="F101" s="17" t="inlineStr">
        <is>
          <t>https://help.meetup.com/hc/en-us/articles/39792225676813-Announcing-your-events</t>
        </is>
      </c>
      <c r="G101" s="16" t="inlineStr">
        <is>
          <t>イベント告知後に共有モーダルが自動表示される(主催者向け)。参加者が申込後に友人を招待する専用導線は確認できず</t>
        </is>
      </c>
    </row>
    <row r="102">
      <c r="A102" s="16" t="inlineStr">
        <is>
          <t>Meetup</t>
        </is>
      </c>
      <c r="B102" s="16" t="inlineStr">
        <is>
          <t>SH04</t>
        </is>
      </c>
      <c r="C102" s="16" t="inlineStr">
        <is>
          <t>紹介リンク・紹介の可視化</t>
        </is>
      </c>
      <c r="D102" s="13" t="inlineStr">
        <is>
          <t>？</t>
        </is>
      </c>
      <c r="E102" s="16" t="inlineStr">
        <is>
          <t>なし</t>
        </is>
      </c>
      <c r="F102" s="16" t="inlineStr"/>
      <c r="G102" s="16" t="inlineStr">
        <is>
          <t>紹介リンク・紹介元の追跡・可視化は公式資料で確認できず(Allow guests の同行者人数のみ)</t>
        </is>
      </c>
    </row>
    <row r="103">
      <c r="A103" s="16" t="inlineStr">
        <is>
          <t>Meetup</t>
        </is>
      </c>
      <c r="B103" s="16" t="inlineStr">
        <is>
          <t>SH05</t>
        </is>
      </c>
      <c r="C103" s="16" t="inlineStr">
        <is>
          <t>連絡先・SNS連携で友人発見</t>
        </is>
      </c>
      <c r="D103" s="13" t="inlineStr">
        <is>
          <t>？</t>
        </is>
      </c>
      <c r="E103" s="16" t="inlineStr">
        <is>
          <t>なし</t>
        </is>
      </c>
      <c r="F103" s="16" t="inlineStr"/>
      <c r="G103" s="16" t="inlineStr">
        <is>
          <t>連絡先・SNS連携による友人発見は公式資料で確認できず</t>
        </is>
      </c>
    </row>
    <row r="104">
      <c r="A104" s="16" t="inlineStr">
        <is>
          <t>Meetup</t>
        </is>
      </c>
      <c r="B104" s="16" t="inlineStr">
        <is>
          <t>SH06</t>
        </is>
      </c>
      <c r="C104" s="16" t="inlineStr">
        <is>
          <t>社会的証明の表示</t>
        </is>
      </c>
      <c r="D104" s="13" t="inlineStr">
        <is>
          <t>✅</t>
        </is>
      </c>
      <c r="E104" s="16" t="inlineStr">
        <is>
          <t>実機</t>
        </is>
      </c>
      <c r="F104" s="17" t="inlineStr">
        <is>
          <t>https://www.meetup.com/ja/tokyo-international-party-shibuya/events/315750739/</t>
        </is>
      </c>
      <c r="G104" s="16" t="inlineStr">
        <is>
          <t>イベントページにRSVP人数、グループ評価(4.0・1,114件)、主催者バッジ(スーパーオーガナイザー)を表示。Who will be there は一部 Meetup+</t>
        </is>
      </c>
    </row>
    <row r="105">
      <c r="A105" s="16" t="inlineStr">
        <is>
          <t>Meetup</t>
        </is>
      </c>
      <c r="B105" s="16" t="inlineStr">
        <is>
          <t>SH07</t>
        </is>
      </c>
      <c r="C105" s="16" t="inlineStr">
        <is>
          <t>QR・短縮URL・チラシ生成</t>
        </is>
      </c>
      <c r="D105" s="13" t="inlineStr">
        <is>
          <t>✅</t>
        </is>
      </c>
      <c r="E105" s="16" t="inlineStr">
        <is>
          <t>公式</t>
        </is>
      </c>
      <c r="F105" s="17" t="inlineStr">
        <is>
          <t>https://help.meetup.com/hc/en-us/articles/360002882691-Sharing-an-event-on-social-media</t>
        </is>
      </c>
      <c r="G105" s="16" t="inlineStr">
        <is>
          <t>イベントフライヤーを生成・保存できる(Webのみ)。QRコード・短縮URLは未確認</t>
        </is>
      </c>
    </row>
    <row r="106">
      <c r="A106" s="16" t="inlineStr">
        <is>
          <t>Meetup</t>
        </is>
      </c>
      <c r="B106" s="16" t="inlineStr">
        <is>
          <t>SH08</t>
        </is>
      </c>
      <c r="C106" s="16" t="inlineStr">
        <is>
          <t>埋め込みウィジェット</t>
        </is>
      </c>
      <c r="D106" s="13" t="inlineStr">
        <is>
          <t>△</t>
        </is>
      </c>
      <c r="E106" s="16" t="inlineStr">
        <is>
          <t>公式</t>
        </is>
      </c>
      <c r="F106" s="17" t="inlineStr">
        <is>
          <t>https://help.meetup.com/hc/en-us/articles/28677808413197-Organizer-Subscription-prices-overview</t>
        </is>
      </c>
      <c r="G106" s="16" t="inlineStr">
        <is>
          <t>Pro 限定の Meetup API で外部ページへデータ提供できる。埋め込みウィジェット・申込ボタンは確認できず</t>
        </is>
      </c>
    </row>
    <row r="107">
      <c r="A107" s="16" t="inlineStr">
        <is>
          <t>Meetup</t>
        </is>
      </c>
      <c r="B107" s="16" t="inlineStr">
        <is>
          <t>OP01</t>
        </is>
      </c>
      <c r="C107" s="16" t="inlineStr">
        <is>
          <t>簡単な作成</t>
        </is>
      </c>
      <c r="D107" s="13" t="inlineStr">
        <is>
          <t>✅</t>
        </is>
      </c>
      <c r="E107" s="16" t="inlineStr">
        <is>
          <t>公式</t>
        </is>
      </c>
      <c r="F107" s="17" t="inlineStr">
        <is>
          <t>https://help.meetup.com/hc/en-us/articles/39790436736525-Creating-an-event</t>
        </is>
      </c>
      <c r="G107" s="16" t="inlineStr">
        <is>
          <t>ステップ式のイベント作成、Meet and Greet テンプレート、過去イベントのコピー、AI生成。タイトル・日時・場所・説明を入力して公開</t>
        </is>
      </c>
    </row>
    <row r="108">
      <c r="A108" s="16" t="inlineStr">
        <is>
          <t>Meetup</t>
        </is>
      </c>
      <c r="B108" s="16" t="inlineStr">
        <is>
          <t>OP02</t>
        </is>
      </c>
      <c r="C108" s="16" t="inlineStr">
        <is>
          <t>コピー・繰り返し作成</t>
        </is>
      </c>
      <c r="D108" s="13" t="inlineStr">
        <is>
          <t>✅</t>
        </is>
      </c>
      <c r="E108" s="16" t="inlineStr">
        <is>
          <t>公式</t>
        </is>
      </c>
      <c r="F108" s="17" t="inlineStr">
        <is>
          <t>https://help.meetup.com/hc/en-us/articles/39790436736525-Creating-an-event</t>
        </is>
      </c>
      <c r="G108" s="16" t="inlineStr">
        <is>
          <t>過去イベントのコピー(Create event メニュー)と Repeat event(繰り返しイベント)。Pro はイベントテンプレート・ネットワークイベント</t>
        </is>
      </c>
    </row>
    <row r="109">
      <c r="A109" s="16" t="inlineStr">
        <is>
          <t>Meetup</t>
        </is>
      </c>
      <c r="B109" s="16" t="inlineStr">
        <is>
          <t>OP03</t>
        </is>
      </c>
      <c r="C109" s="16" t="inlineStr">
        <is>
          <t>下書き・限定公開</t>
        </is>
      </c>
      <c r="D109" s="13" t="inlineStr">
        <is>
          <t>✅</t>
        </is>
      </c>
      <c r="E109" s="16" t="inlineStr">
        <is>
          <t>公式</t>
        </is>
      </c>
      <c r="F109" s="17" t="inlineStr">
        <is>
          <t>https://help.meetup.com/hc/en-us/articles/39790436736525-Creating-an-event</t>
        </is>
      </c>
      <c r="G109" s="16" t="inlineStr">
        <is>
          <t>下書き保存、公開後に告知のタイミングを選べる、非公開(プライベート)グループ。URL限定公開は確認できず</t>
        </is>
      </c>
    </row>
    <row r="110">
      <c r="A110" s="16" t="inlineStr">
        <is>
          <t>Meetup</t>
        </is>
      </c>
      <c r="B110" s="16" t="inlineStr">
        <is>
          <t>OP04</t>
        </is>
      </c>
      <c r="C110" s="16" t="inlineStr">
        <is>
          <t>AI作成支援</t>
        </is>
      </c>
      <c r="D110" s="13" t="inlineStr">
        <is>
          <t>△</t>
        </is>
      </c>
      <c r="E110" s="16" t="inlineStr">
        <is>
          <t>公式</t>
        </is>
      </c>
      <c r="F110" s="17" t="inlineStr">
        <is>
          <t>https://help.meetup.com/hc/en-us/articles/28677808413197-Organizer-Subscription-prices-overview</t>
        </is>
      </c>
      <c r="G110" s="16" t="inlineStr">
        <is>
          <t>説明文の ChatGPT 連携生成は作成画面にある。AI によるイベント丸ごと生成(AI events)は Pro 限定</t>
        </is>
      </c>
    </row>
    <row r="111">
      <c r="A111" s="16" t="inlineStr">
        <is>
          <t>Meetup</t>
        </is>
      </c>
      <c r="B111" s="16" t="inlineStr">
        <is>
          <t>OP05</t>
        </is>
      </c>
      <c r="C111" s="16" t="inlineStr">
        <is>
          <t>共同主催・運営メンバー権限</t>
        </is>
      </c>
      <c r="D111" s="13" t="inlineStr">
        <is>
          <t>✅</t>
        </is>
      </c>
      <c r="E111" s="16" t="inlineStr">
        <is>
          <t>公式</t>
        </is>
      </c>
      <c r="F111" s="17" t="inlineStr">
        <is>
          <t>https://help.meetup.com/hc/en-us/articles/360002879411-Managing-a-leadership-team</t>
        </is>
      </c>
      <c r="G111" s="16" t="inlineStr">
        <is>
          <t>Organizer・Co-Organizer・Assistant Organizer・Event Organizer の役割と、イベント単位のホスト。共同ホストは Standard/Pro とも無制限</t>
        </is>
      </c>
    </row>
    <row r="112">
      <c r="A112" s="16" t="inlineStr">
        <is>
          <t>Meetup</t>
        </is>
      </c>
      <c r="B112" s="16" t="inlineStr">
        <is>
          <t>OP06</t>
        </is>
      </c>
      <c r="C112" s="16" t="inlineStr">
        <is>
          <t>参加者管理・名簿出力</t>
        </is>
      </c>
      <c r="D112" s="13" t="inlineStr">
        <is>
          <t>✅</t>
        </is>
      </c>
      <c r="E112" s="16" t="inlineStr">
        <is>
          <t>公式</t>
        </is>
      </c>
      <c r="F112" s="17" t="inlineStr">
        <is>
          <t>https://help.meetup.com/hc/en-us/articles/39887158477965-How-do-I-download-print-my-event-attendee-list</t>
        </is>
      </c>
      <c r="G112" s="16" t="inlineStr">
        <is>
          <t>出席者リストを Attendee details からスプレッドシートでダウンロード・印刷。メールアドレスは Pro のみ(Contact members の記事)</t>
        </is>
      </c>
    </row>
    <row r="113">
      <c r="A113" s="16" t="inlineStr">
        <is>
          <t>Meetup</t>
        </is>
      </c>
      <c r="B113" s="16" t="inlineStr">
        <is>
          <t>OP07</t>
        </is>
      </c>
      <c r="C113" s="16" t="inlineStr">
        <is>
          <t>一斉メッセージ</t>
        </is>
      </c>
      <c r="D113" s="13" t="inlineStr">
        <is>
          <t>✅</t>
        </is>
      </c>
      <c r="E113" s="16" t="inlineStr">
        <is>
          <t>公式</t>
        </is>
      </c>
      <c r="F113" s="17" t="inlineStr">
        <is>
          <t>https://help.meetup.com/hc/en-us/articles/39285624029837-How-can-I-send-emails-to-my-members</t>
        </is>
      </c>
      <c r="G113" s="16" t="inlineStr">
        <is>
          <t>Contact members(全員・リーダーシップ・カスタムリスト・RSVP状況別・休眠会員)とイベントチャット(内蔵/WhatsApp・Discord・LINE 等のリンク)</t>
        </is>
      </c>
    </row>
    <row r="114">
      <c r="A114" s="16" t="inlineStr">
        <is>
          <t>Meetup</t>
        </is>
      </c>
      <c r="B114" s="16" t="inlineStr">
        <is>
          <t>OP08</t>
        </is>
      </c>
      <c r="C114" s="16" t="inlineStr">
        <is>
          <t>当日運営ツール</t>
        </is>
      </c>
      <c r="D114" s="13" t="inlineStr">
        <is>
          <t>✅</t>
        </is>
      </c>
      <c r="E114" s="16" t="inlineStr">
        <is>
          <t>公式</t>
        </is>
      </c>
      <c r="F114" s="17" t="inlineStr">
        <is>
          <t>https://help.meetup.com/hc/en-us/articles/45352992737677-Introducing-the-new-attendee-list-and-QR-code-check-in</t>
        </is>
      </c>
      <c r="G114" s="16" t="inlineStr">
        <is>
          <t>出席者リストとチェックインを統合、モバイルでQRスキャン、不参加(Absent)記録(2026)</t>
        </is>
      </c>
    </row>
    <row r="115">
      <c r="A115" s="16" t="inlineStr">
        <is>
          <t>Meetup</t>
        </is>
      </c>
      <c r="B115" s="16" t="inlineStr">
        <is>
          <t>OP09</t>
        </is>
      </c>
      <c r="C115" s="16" t="inlineStr">
        <is>
          <t>売上・入金管理</t>
        </is>
      </c>
      <c r="D115" s="13" t="inlineStr">
        <is>
          <t>✅</t>
        </is>
      </c>
      <c r="E115" s="16" t="inlineStr">
        <is>
          <t>公式</t>
        </is>
      </c>
      <c r="F115" s="17" t="inlineStr">
        <is>
          <t>https://help.meetup.com/hc/en-us/articles/360002866392-Managing-a-group-s-Money-page</t>
        </is>
      </c>
      <c r="G115" s="16" t="inlineStr">
        <is>
          <t>Money ページで会費・参加費・スポンサー収入を管理し、Payments received で売上を確認、返金処理も可。Stripe で受取(2024-09 に PayPal から移行)。入金サイクルの詳細は未確認</t>
        </is>
      </c>
    </row>
    <row r="116">
      <c r="A116" s="16" t="inlineStr">
        <is>
          <t>Meetup</t>
        </is>
      </c>
      <c r="B116" s="16" t="inlineStr">
        <is>
          <t>OP10</t>
        </is>
      </c>
      <c r="C116" s="16" t="inlineStr">
        <is>
          <t>流入・申込の分析</t>
        </is>
      </c>
      <c r="D116" s="13" t="inlineStr">
        <is>
          <t>✅</t>
        </is>
      </c>
      <c r="E116" s="16" t="inlineStr">
        <is>
          <t>公式</t>
        </is>
      </c>
      <c r="F116" s="17" t="inlineStr">
        <is>
          <t>https://help.meetup.com/hc/en-us/articles/360002862532-How-do-I-see-my-Meetup-group-s-stats</t>
        </is>
      </c>
      <c r="G116" s="16" t="inlineStr">
        <is>
          <t>グループ統計(新規加入・RSVP・アクティブ会員)を最大3年分CSVで出力。Pro はダッシュボード・高度な分析</t>
        </is>
      </c>
    </row>
    <row r="117">
      <c r="A117" s="16" t="inlineStr">
        <is>
          <t>Meetup</t>
        </is>
      </c>
      <c r="B117" s="16" t="inlineStr">
        <is>
          <t>OP11</t>
        </is>
      </c>
      <c r="C117" s="16" t="inlineStr">
        <is>
          <t>主催者ページ・グループページ</t>
        </is>
      </c>
      <c r="D117" s="13" t="inlineStr">
        <is>
          <t>✅</t>
        </is>
      </c>
      <c r="E117" s="16" t="inlineStr">
        <is>
          <t>公式</t>
        </is>
      </c>
      <c r="F117" s="17" t="inlineStr">
        <is>
          <t>https://help.meetup.com/hc/en-us/articles/360013054151-Viewing-event-feedback-from-members</t>
        </is>
      </c>
      <c r="G117" s="16" t="inlineStr">
        <is>
          <t>グループページにイベント一覧・平均評価・レビューを表示。Pro はブランド付きネットワークプロフィール(料金表の記事)</t>
        </is>
      </c>
    </row>
    <row r="118">
      <c r="A118" s="16" t="inlineStr">
        <is>
          <t>Meetup</t>
        </is>
      </c>
      <c r="B118" s="16" t="inlineStr">
        <is>
          <t>OP12</t>
        </is>
      </c>
      <c r="C118" s="16" t="inlineStr">
        <is>
          <t>外部ツール連携・API</t>
        </is>
      </c>
      <c r="D118" s="13" t="inlineStr">
        <is>
          <t>△</t>
        </is>
      </c>
      <c r="E118" s="16" t="inlineStr">
        <is>
          <t>公式</t>
        </is>
      </c>
      <c r="F118" s="17" t="inlineStr">
        <is>
          <t>https://help.meetup.com/hc/en-us/articles/28677808413197-Organizer-Subscription-prices-overview</t>
        </is>
      </c>
      <c r="G118" s="16" t="inlineStr">
        <is>
          <t>Zoom 連携は利用可。Mailchimp 連携と Meetup API は Pro 限定。komoot 経路埋め込み(ベータ)</t>
        </is>
      </c>
    </row>
    <row r="119">
      <c r="A119" s="16" t="inlineStr">
        <is>
          <t>Meetup</t>
        </is>
      </c>
      <c r="B119" s="16" t="inlineStr">
        <is>
          <t>AC01</t>
        </is>
      </c>
      <c r="C119" s="16" t="inlineStr">
        <is>
          <t>無料イベントは無料</t>
        </is>
      </c>
      <c r="D119" s="13" t="inlineStr">
        <is>
          <t>△</t>
        </is>
      </c>
      <c r="E119" s="16" t="inlineStr">
        <is>
          <t>公式</t>
        </is>
      </c>
      <c r="F119" s="17" t="inlineStr">
        <is>
          <t>https://help.meetup.com/hc/en-us/articles/40514667096589-I-used-to-have-access-to-the-free-plan-but-now-don-t-see-it-anymore-can-I-get-it-back</t>
        </is>
      </c>
      <c r="G119" s="16" t="inlineStr">
        <is>
          <t>無料の Starter プランは初めての主催者のみ。以降は Standard 月$29.99〜(2024-06 値上げ)。グロース根拠あり(負の事例: 主催者課金後の離脱[OWASP が2026-01廃止]・2019年の参加者課金テストで反発)</t>
        </is>
      </c>
    </row>
    <row r="120">
      <c r="A120" s="16" t="inlineStr">
        <is>
          <t>Meetup</t>
        </is>
      </c>
      <c r="B120" s="16" t="inlineStr">
        <is>
          <t>AC02</t>
        </is>
      </c>
      <c r="C120" s="16" t="inlineStr">
        <is>
          <t>手数料負担の選択</t>
        </is>
      </c>
      <c r="D120" s="13" t="inlineStr">
        <is>
          <t>❌</t>
        </is>
      </c>
      <c r="E120" s="16" t="inlineStr">
        <is>
          <t>公式</t>
        </is>
      </c>
      <c r="F120" s="17" t="inlineStr">
        <is>
          <t>https://help.meetup.com/hc/en-us/articles/39489419634189--Event-fees-Why-does-Meetup-charge-a-service-fee-for-ticketed-events</t>
        </is>
      </c>
      <c r="G120" s="16" t="inlineStr">
        <is>
          <t>サービス料は参加者がRSVP時に負担し、主催者は払わないと明記。主催者負担への切替は記載なし</t>
        </is>
      </c>
    </row>
    <row r="121">
      <c r="A121" s="16" t="inlineStr">
        <is>
          <t>Meetup</t>
        </is>
      </c>
      <c r="B121" s="16" t="inlineStr">
        <is>
          <t>AC03</t>
        </is>
      </c>
      <c r="C121" s="16" t="inlineStr">
        <is>
          <t>参加者データの所有・出力</t>
        </is>
      </c>
      <c r="D121" s="13" t="inlineStr">
        <is>
          <t>△</t>
        </is>
      </c>
      <c r="E121" s="16" t="inlineStr">
        <is>
          <t>公式</t>
        </is>
      </c>
      <c r="F121" s="17" t="inlineStr">
        <is>
          <t>https://help.meetup.com/hc/en-us/articles/28677808413197-Organizer-Subscription-prices-overview</t>
        </is>
      </c>
      <c r="G121" s="16" t="inlineStr">
        <is>
          <t>メーリングリストのエクスポートは Pro のみ。Pro 以外は会員のメールが見えずダウンロード不可と明記(Contact members の記事)</t>
        </is>
      </c>
    </row>
    <row r="122">
      <c r="A122" s="16" t="inlineStr">
        <is>
          <t>Meetup</t>
        </is>
      </c>
      <c r="B122" s="16" t="inlineStr">
        <is>
          <t>AC04</t>
        </is>
      </c>
      <c r="C122" s="16" t="inlineStr">
        <is>
          <t>他サービスからの移行</t>
        </is>
      </c>
      <c r="D122" s="13" t="inlineStr">
        <is>
          <t>？</t>
        </is>
      </c>
      <c r="E122" s="16" t="inlineStr">
        <is>
          <t>なし</t>
        </is>
      </c>
      <c r="F122" s="16" t="inlineStr"/>
      <c r="G122" s="16" t="inlineStr">
        <is>
          <t>他サービスからのインポート・移行支援は公式資料で確認できず</t>
        </is>
      </c>
    </row>
    <row r="123">
      <c r="A123" s="16" t="inlineStr">
        <is>
          <t>Meetup</t>
        </is>
      </c>
      <c r="B123" s="16" t="inlineStr">
        <is>
          <t>AC05</t>
        </is>
      </c>
      <c r="C123" s="16" t="inlineStr">
        <is>
          <t>主催者紹介・アンバサダー</t>
        </is>
      </c>
      <c r="D123" s="13" t="inlineStr">
        <is>
          <t>？</t>
        </is>
      </c>
      <c r="E123" s="16" t="inlineStr">
        <is>
          <t>なし</t>
        </is>
      </c>
      <c r="F123" s="16" t="inlineStr"/>
      <c r="G123" s="16" t="inlineStr">
        <is>
          <t>主催者紹介報酬・アンバサダー制度は公式資料で確認できず(Pro のスポンサー募集は別機能)</t>
        </is>
      </c>
    </row>
    <row r="124">
      <c r="A124" s="16" t="inlineStr">
        <is>
          <t>Meetup</t>
        </is>
      </c>
      <c r="B124" s="16" t="inlineStr">
        <is>
          <t>AC06</t>
        </is>
      </c>
      <c r="C124" s="16" t="inlineStr">
        <is>
          <t>主催者向け教育・テンプレ</t>
        </is>
      </c>
      <c r="D124" s="13" t="inlineStr">
        <is>
          <t>✅</t>
        </is>
      </c>
      <c r="E124" s="16" t="inlineStr">
        <is>
          <t>公式</t>
        </is>
      </c>
      <c r="F124" s="17" t="inlineStr">
        <is>
          <t>https://help.meetup.com/hc/en-us/articles/39790436736525-Creating-an-event</t>
        </is>
      </c>
      <c r="G124" s="16" t="inlineStr">
        <is>
          <t>Meet and Greet テンプレート、成功のコツ、可視性向上ガイド、Meetup Organizer Community(Discord)への案内</t>
        </is>
      </c>
    </row>
    <row r="125">
      <c r="A125" s="16" t="inlineStr">
        <is>
          <t>Meetup</t>
        </is>
      </c>
      <c r="B125" s="16" t="inlineStr">
        <is>
          <t>AC07</t>
        </is>
      </c>
      <c r="C125" s="16" t="inlineStr">
        <is>
          <t>集客支援の商品</t>
        </is>
      </c>
      <c r="D125" s="13" t="inlineStr">
        <is>
          <t>△</t>
        </is>
      </c>
      <c r="E125" s="16" t="inlineStr">
        <is>
          <t>公式</t>
        </is>
      </c>
      <c r="F125" s="17" t="inlineStr">
        <is>
          <t>https://help.meetup.com/hc/en-us/articles/28677808413197-Organizer-Subscription-prices-overview</t>
        </is>
      </c>
      <c r="G125" s="16" t="inlineStr">
        <is>
          <t>Pro 限定の Paid promotions(有料イベント促進)とスポンサー募集</t>
        </is>
      </c>
    </row>
    <row r="126">
      <c r="A126" s="16" t="inlineStr">
        <is>
          <t>Meetup</t>
        </is>
      </c>
      <c r="B126" s="16" t="inlineStr">
        <is>
          <t>AC08</t>
        </is>
      </c>
      <c r="C126" s="16" t="inlineStr">
        <is>
          <t>運営主催・公式イベント</t>
        </is>
      </c>
      <c r="D126" s="13" t="inlineStr">
        <is>
          <t>？</t>
        </is>
      </c>
      <c r="E126" s="16" t="inlineStr">
        <is>
          <t>なし</t>
        </is>
      </c>
      <c r="F126" s="16" t="inlineStr"/>
      <c r="G126" s="16" t="inlineStr">
        <is>
          <t>運営自身のイベント主催・共催は公式資料で確認できず</t>
        </is>
      </c>
    </row>
    <row r="127">
      <c r="A127" s="16" t="inlineStr">
        <is>
          <t>Meetup</t>
        </is>
      </c>
      <c r="B127" s="16" t="inlineStr">
        <is>
          <t>CR01</t>
        </is>
      </c>
      <c r="C127" s="16" t="inlineStr">
        <is>
          <t>ダイジェスト・おすすめ通知</t>
        </is>
      </c>
      <c r="D127" s="13" t="inlineStr">
        <is>
          <t>✅</t>
        </is>
      </c>
      <c r="E127" s="16" t="inlineStr">
        <is>
          <t>公式</t>
        </is>
      </c>
      <c r="F127" s="17" t="inlineStr">
        <is>
          <t>https://help.meetup.com/hc/en-us/articles/40708711774221-What-notifications-Meetup-can-send</t>
        </is>
      </c>
      <c r="G127" s="16" t="inlineStr">
        <is>
          <t>新規イベント告知をメール・プッシュ・受信箱で通知。通知数を絞る方針(fewer, more impactful)を公式が説明。メンバーの Ads もメールから除去(2025)</t>
        </is>
      </c>
    </row>
    <row r="128">
      <c r="A128" s="16" t="inlineStr">
        <is>
          <t>Meetup</t>
        </is>
      </c>
      <c r="B128" s="16" t="inlineStr">
        <is>
          <t>CR02</t>
        </is>
      </c>
      <c r="C128" s="16" t="inlineStr">
        <is>
          <t>自動メンバー化</t>
        </is>
      </c>
      <c r="D128" s="13" t="inlineStr">
        <is>
          <t>✅</t>
        </is>
      </c>
      <c r="E128" s="16" t="inlineStr">
        <is>
          <t>公式</t>
        </is>
      </c>
      <c r="F128" s="17" t="inlineStr">
        <is>
          <t>https://help.meetup.com/hc/en-us/articles/39235072484109-Finding-an-event</t>
        </is>
      </c>
      <c r="G128" s="16" t="inlineStr">
        <is>
          <t>イベントにRSVPすると自動でそのグループの会員になり、以後の開催通知を受け取る</t>
        </is>
      </c>
    </row>
    <row r="129">
      <c r="A129" s="16" t="inlineStr">
        <is>
          <t>Meetup</t>
        </is>
      </c>
      <c r="B129" s="16" t="inlineStr">
        <is>
          <t>CR03</t>
        </is>
      </c>
      <c r="C129" s="16" t="inlineStr">
        <is>
          <t>前回参加者への優先案内</t>
        </is>
      </c>
      <c r="D129" s="13" t="inlineStr">
        <is>
          <t>△</t>
        </is>
      </c>
      <c r="E129" s="16" t="inlineStr">
        <is>
          <t>公式</t>
        </is>
      </c>
      <c r="F129" s="17" t="inlineStr">
        <is>
          <t>https://help.meetup.com/hc/en-us/articles/34744060726669-Meetup-vs-Free-Plan-Members-Key-Differences-and-Benefits</t>
        </is>
      </c>
      <c r="G129" s="16" t="inlineStr">
        <is>
          <t>RSVP状況別に過去参加者へ連絡でき、Meetup+会員は新規イベントを先に通知される(First to Know)。主催者が前回参加者を優先する機能は確認できず</t>
        </is>
      </c>
    </row>
    <row r="130">
      <c r="A130" s="16" t="inlineStr">
        <is>
          <t>Meetup</t>
        </is>
      </c>
      <c r="B130" s="16" t="inlineStr">
        <is>
          <t>CR04</t>
        </is>
      </c>
      <c r="C130" s="16" t="inlineStr">
        <is>
          <t>主催者CRM・購読者リスト</t>
        </is>
      </c>
      <c r="D130" s="13" t="inlineStr">
        <is>
          <t>✅</t>
        </is>
      </c>
      <c r="E130" s="16" t="inlineStr">
        <is>
          <t>公式</t>
        </is>
      </c>
      <c r="F130" s="17" t="inlineStr">
        <is>
          <t>https://help.meetup.com/hc/en-us/articles/28677808413197-Organizer-Subscription-prices-overview</t>
        </is>
      </c>
      <c r="G130" s="16" t="inlineStr">
        <is>
          <t>Contact members(カスタムリスト・RSVP別)。Pro はセグメント配信・メーリングリスト出力・Mailchimp 連携</t>
        </is>
      </c>
    </row>
    <row r="131">
      <c r="A131" s="16" t="inlineStr">
        <is>
          <t>Meetup</t>
        </is>
      </c>
      <c r="B131" s="16" t="inlineStr">
        <is>
          <t>CR05</t>
        </is>
      </c>
      <c r="C131" s="16" t="inlineStr">
        <is>
          <t>参加履歴・バッジ・実績</t>
        </is>
      </c>
      <c r="D131" s="13" t="inlineStr">
        <is>
          <t>✅</t>
        </is>
      </c>
      <c r="E131" s="16" t="inlineStr">
        <is>
          <t>公式</t>
        </is>
      </c>
      <c r="F131" s="17" t="inlineStr">
        <is>
          <t>https://help.meetup.com/hc/en-us/articles/360002879411-Managing-a-leadership-team</t>
        </is>
      </c>
      <c r="G131" s="16" t="inlineStr">
        <is>
          <t>主催者は会員の出席履歴を閲覧できる。プロフィールの Meetup+ バッジ、イベントページの Super Organizer バッジ(実機)</t>
        </is>
      </c>
    </row>
    <row r="132">
      <c r="A132" s="16" t="inlineStr">
        <is>
          <t>Meetup</t>
        </is>
      </c>
      <c r="B132" s="16" t="inlineStr">
        <is>
          <t>CR06</t>
        </is>
      </c>
      <c r="C132" s="16" t="inlineStr">
        <is>
          <t>レビュー・評価</t>
        </is>
      </c>
      <c r="D132" s="13" t="inlineStr">
        <is>
          <t>✅</t>
        </is>
      </c>
      <c r="E132" s="16" t="inlineStr">
        <is>
          <t>公式</t>
        </is>
      </c>
      <c r="F132" s="17" t="inlineStr">
        <is>
          <t>https://help.meetup.com/hc/en-us/articles/360013054151-Viewing-event-feedback-from-members</t>
        </is>
      </c>
      <c r="G132" s="16" t="inlineStr">
        <is>
          <t>グループ・イベントの評価とレビュー(2025-04 以降は公開)。悪質レビューの通報あり</t>
        </is>
      </c>
    </row>
    <row r="133">
      <c r="A133" s="16" t="inlineStr">
        <is>
          <t>Meetup</t>
        </is>
      </c>
      <c r="B133" s="16" t="inlineStr">
        <is>
          <t>CR07</t>
        </is>
      </c>
      <c r="C133" s="16" t="inlineStr">
        <is>
          <t>グループチャット・掲示板</t>
        </is>
      </c>
      <c r="D133" s="13" t="inlineStr">
        <is>
          <t>✅</t>
        </is>
      </c>
      <c r="E133" s="16" t="inlineStr">
        <is>
          <t>公式</t>
        </is>
      </c>
      <c r="F133" s="17" t="inlineStr">
        <is>
          <t>https://help.meetup.com/hc/en-us/articles/48377081479693-Setting-up-event-chats-and-third-party-messaging-on-Meetup</t>
        </is>
      </c>
      <c r="G133" s="16" t="inlineStr">
        <is>
          <t>イベントチャット(内蔵/外部リンク)、グループディスカッション、メンバー間DM</t>
        </is>
      </c>
    </row>
    <row r="134">
      <c r="A134" s="16" t="inlineStr">
        <is>
          <t>Meetup</t>
        </is>
      </c>
      <c r="B134" s="16" t="inlineStr">
        <is>
          <t>CR08</t>
        </is>
      </c>
      <c r="C134" s="16" t="inlineStr">
        <is>
          <t>年間まとめ・振り返り共有</t>
        </is>
      </c>
      <c r="D134" s="13" t="inlineStr">
        <is>
          <t>？</t>
        </is>
      </c>
      <c r="E134" s="16" t="inlineStr">
        <is>
          <t>なし</t>
        </is>
      </c>
      <c r="F134" s="16" t="inlineStr"/>
      <c r="G134" s="16" t="inlineStr">
        <is>
          <t>年間まとめ・振り返り共有は公式資料で確認できず</t>
        </is>
      </c>
    </row>
    <row r="135">
      <c r="A135" s="16" t="inlineStr">
        <is>
          <t>Meetup</t>
        </is>
      </c>
      <c r="B135" s="16" t="inlineStr">
        <is>
          <t>TS01</t>
        </is>
      </c>
      <c r="C135" s="16" t="inlineStr">
        <is>
          <t>本人確認・認証</t>
        </is>
      </c>
      <c r="D135" s="13" t="inlineStr">
        <is>
          <t>？</t>
        </is>
      </c>
      <c r="E135" s="16" t="inlineStr">
        <is>
          <t>なし</t>
        </is>
      </c>
      <c r="F135" s="16" t="inlineStr"/>
      <c r="G135" s="16" t="inlineStr">
        <is>
          <t>電話番号・ID・実名などによる利用者確認は公式資料で確認できず(任意のプロフィール写真必須設定のみ)</t>
        </is>
      </c>
    </row>
    <row r="136">
      <c r="A136" s="16" t="inlineStr">
        <is>
          <t>Meetup</t>
        </is>
      </c>
      <c r="B136" s="16" t="inlineStr">
        <is>
          <t>TS02</t>
        </is>
      </c>
      <c r="C136" s="16" t="inlineStr">
        <is>
          <t>主催者の審査・認定</t>
        </is>
      </c>
      <c r="D136" s="13" t="inlineStr">
        <is>
          <t>✅</t>
        </is>
      </c>
      <c r="E136" s="16" t="inlineStr">
        <is>
          <t>公式</t>
        </is>
      </c>
      <c r="F136" s="17" t="inlineStr">
        <is>
          <t>https://help.meetup.com/hc/en-us/articles/42035449507853-FAQs-around-the-newly-released-Super-Organizer-badge</t>
        </is>
      </c>
      <c r="G136" s="16" t="inlineStr">
        <is>
          <t>Super Organizer バッジ(2025-12 ヘルプ)。直近の参加人数の多さに基づき四半期ごとに再審査(米国は未提供と記載)。日本語のイベントページで表示を実機確認。新規メンバー承認・プロフィール質問でグループ側の審査も可</t>
        </is>
      </c>
    </row>
    <row r="137">
      <c r="A137" s="16" t="inlineStr">
        <is>
          <t>Meetup</t>
        </is>
      </c>
      <c r="B137" s="16" t="inlineStr">
        <is>
          <t>TS03</t>
        </is>
      </c>
      <c r="C137" s="16" t="inlineStr">
        <is>
          <t>通報・ブロック・モデレーション</t>
        </is>
      </c>
      <c r="D137" s="13" t="inlineStr">
        <is>
          <t>✅</t>
        </is>
      </c>
      <c r="E137" s="16" t="inlineStr">
        <is>
          <t>公式</t>
        </is>
      </c>
      <c r="F137" s="17" t="inlineStr">
        <is>
          <t>https://help.meetup.com/hc/en-us/articles/43041158507661-How-we-moderate-Meetup-to-keep-interactions-meaningful-and-safe</t>
        </is>
      </c>
      <c r="G137" s="16" t="inlineStr">
        <is>
          <t>グループ・イベント・メンバーの通報、ブロック、Trust &amp; Safety による自動+人手のモデレーションを公式が説明</t>
        </is>
      </c>
    </row>
    <row r="138">
      <c r="A138" s="16" t="inlineStr">
        <is>
          <t>Meetup</t>
        </is>
      </c>
      <c r="B138" s="16" t="inlineStr">
        <is>
          <t>TS04</t>
        </is>
      </c>
      <c r="C138" s="16" t="inlineStr">
        <is>
          <t>ドタキャン対策</t>
        </is>
      </c>
      <c r="D138" s="13" t="inlineStr">
        <is>
          <t>△</t>
        </is>
      </c>
      <c r="E138" s="16" t="inlineStr">
        <is>
          <t>公式</t>
        </is>
      </c>
      <c r="F138" s="17" t="inlineStr">
        <is>
          <t>https://help.meetup.com/hc/en-us/articles/45352992737677-Introducing-the-new-attendee-list-and-QR-code-check-in</t>
        </is>
      </c>
      <c r="G138" s="16" t="inlineStr">
        <is>
          <t>RSVP後の欠席(Absent)・チェックイン済の記録と出席履歴、有料イベントの前払い。欠席料・デポジットは確認できず</t>
        </is>
      </c>
    </row>
    <row r="139">
      <c r="A139" s="16" t="inlineStr">
        <is>
          <t>Meetup</t>
        </is>
      </c>
      <c r="B139" s="16" t="inlineStr">
        <is>
          <t>TS05</t>
        </is>
      </c>
      <c r="C139" s="16" t="inlineStr">
        <is>
          <t>参加者情報の保護</t>
        </is>
      </c>
      <c r="D139" s="13" t="inlineStr">
        <is>
          <t>✅</t>
        </is>
      </c>
      <c r="E139" s="16" t="inlineStr">
        <is>
          <t>公式</t>
        </is>
      </c>
      <c r="F139" s="17" t="inlineStr">
        <is>
          <t>https://help.meetup.com/hc/en-us/articles/360002921751-Key-differences-between-Public-Groups-and-Private-Groups</t>
        </is>
      </c>
      <c r="G139" s="16" t="inlineStr">
        <is>
          <t>プライベートグループは会員名・プロフィール回答・イベント場所・説明を非会員に非公開。プロフィールのグループ一覧・興味も非表示にできる</t>
        </is>
      </c>
    </row>
    <row r="140">
      <c r="A140" s="16" t="inlineStr">
        <is>
          <t>Meetup</t>
        </is>
      </c>
      <c r="B140" s="16" t="inlineStr">
        <is>
          <t>TS06</t>
        </is>
      </c>
      <c r="C140" s="16" t="inlineStr">
        <is>
          <t>直接取引の抑止</t>
        </is>
      </c>
      <c r="D140" s="13" t="inlineStr">
        <is>
          <t>？</t>
        </is>
      </c>
      <c r="E140" s="16" t="inlineStr">
        <is>
          <t>なし</t>
        </is>
      </c>
      <c r="F140" s="16" t="inlineStr"/>
      <c r="G140" s="16" t="inlineStr">
        <is>
          <t>外部取引の抑止を目的とする規約・仕組みは確認できず(参加費はオフライン徴収も許容)</t>
        </is>
      </c>
    </row>
    <row r="141">
      <c r="A141" s="16" t="inlineStr">
        <is>
          <t>Meetup</t>
        </is>
      </c>
      <c r="B141" s="16" t="inlineStr">
        <is>
          <t>FD01</t>
        </is>
      </c>
      <c r="C141" s="16" t="inlineStr">
        <is>
          <t>メニューの事前注文・選択</t>
        </is>
      </c>
      <c r="D141" s="13" t="inlineStr">
        <is>
          <t>？</t>
        </is>
      </c>
      <c r="E141" s="16" t="inlineStr">
        <is>
          <t>なし</t>
        </is>
      </c>
      <c r="F141" s="16" t="inlineStr"/>
      <c r="G141" s="16" t="inlineStr">
        <is>
          <t>RSVP時に料理・ドリンクを選ぶ機能は公式資料で確認できず(東京の交流パーティーは説明文とRSVP割引で運用: 実機)</t>
        </is>
      </c>
    </row>
    <row r="142">
      <c r="A142" s="16" t="inlineStr">
        <is>
          <t>Meetup</t>
        </is>
      </c>
      <c r="B142" s="16" t="inlineStr">
        <is>
          <t>FD02</t>
        </is>
      </c>
      <c r="C142" s="16" t="inlineStr">
        <is>
          <t>アレルギー・食の好みの登録</t>
        </is>
      </c>
      <c r="D142" s="13" t="inlineStr">
        <is>
          <t>△</t>
        </is>
      </c>
      <c r="E142" s="16" t="inlineStr">
        <is>
          <t>公式</t>
        </is>
      </c>
      <c r="F142" s="17" t="inlineStr">
        <is>
          <t>https://help.meetup.com/hc/en-us/articles/360022471332-Profile-and-event-questions</t>
        </is>
      </c>
      <c r="G142" s="16" t="inlineStr">
        <is>
          <t>イベント質問で任意に聞けるが、健康情報など機微情報の収集は非推奨と明記。専用のアレルギー登録は確認できず</t>
        </is>
      </c>
    </row>
    <row r="143">
      <c r="A143" s="16" t="inlineStr">
        <is>
          <t>Meetup</t>
        </is>
      </c>
      <c r="B143" s="16" t="inlineStr">
        <is>
          <t>FD03</t>
        </is>
      </c>
      <c r="C143" s="16" t="inlineStr">
        <is>
          <t>店舗向け管理画面</t>
        </is>
      </c>
      <c r="D143" s="13" t="inlineStr">
        <is>
          <t>？</t>
        </is>
      </c>
      <c r="E143" s="16" t="inlineStr">
        <is>
          <t>なし</t>
        </is>
      </c>
      <c r="F143" s="16" t="inlineStr"/>
      <c r="G143" s="16" t="inlineStr">
        <is>
          <t>店舗向けの管理画面は確認できず(主催者・リーダーシップ向けの汎用ツールのみ)</t>
        </is>
      </c>
    </row>
    <row r="144">
      <c r="A144" s="16" t="inlineStr">
        <is>
          <t>Meetup</t>
        </is>
      </c>
      <c r="B144" s="16" t="inlineStr">
        <is>
          <t>FD04</t>
        </is>
      </c>
      <c r="C144" s="16" t="inlineStr">
        <is>
          <t>人数確定の店舗通知・集計</t>
        </is>
      </c>
      <c r="D144" s="13" t="inlineStr">
        <is>
          <t>？</t>
        </is>
      </c>
      <c r="E144" s="16" t="inlineStr">
        <is>
          <t>なし</t>
        </is>
      </c>
      <c r="F144" s="16" t="inlineStr"/>
      <c r="G144" s="16" t="inlineStr">
        <is>
          <t>人数・注文の店舗通知・仕込み数集計は公式資料で確認できず</t>
        </is>
      </c>
    </row>
    <row r="145">
      <c r="A145" s="16" t="inlineStr">
        <is>
          <t>Meetup</t>
        </is>
      </c>
      <c r="B145" s="16" t="inlineStr">
        <is>
          <t>FD05</t>
        </is>
      </c>
      <c r="C145" s="16" t="inlineStr">
        <is>
          <t>席の確保・貸切の連携</t>
        </is>
      </c>
      <c r="D145" s="13" t="inlineStr">
        <is>
          <t>？</t>
        </is>
      </c>
      <c r="E145" s="16" t="inlineStr">
        <is>
          <t>なし</t>
        </is>
      </c>
      <c r="F145" s="16" t="inlineStr"/>
      <c r="G145" s="16" t="inlineStr">
        <is>
          <t>席・貸切の確保と連動する機能は公式資料で確認できず(会場の追加・ピン設定のみ)</t>
        </is>
      </c>
    </row>
    <row r="146">
      <c r="A146" s="16" t="inlineStr">
        <is>
          <t>Meetup</t>
        </is>
      </c>
      <c r="B146" s="16" t="inlineStr">
        <is>
          <t>FD06</t>
        </is>
      </c>
      <c r="C146" s="16" t="inlineStr">
        <is>
          <t>コース・固定メニュー</t>
        </is>
      </c>
      <c r="D146" s="13" t="inlineStr">
        <is>
          <t>？</t>
        </is>
      </c>
      <c r="E146" s="16" t="inlineStr">
        <is>
          <t>なし</t>
        </is>
      </c>
      <c r="F146" s="16" t="inlineStr"/>
      <c r="G146" s="16" t="inlineStr">
        <is>
          <t>コース・固定メニューの選択は公式資料で確認できず</t>
        </is>
      </c>
    </row>
    <row r="147">
      <c r="A147" s="16" t="inlineStr">
        <is>
          <t>Meetup</t>
        </is>
      </c>
      <c r="B147" s="16" t="inlineStr">
        <is>
          <t>FD07</t>
        </is>
      </c>
      <c r="C147" s="16" t="inlineStr">
        <is>
          <t>割り勘・個別会計</t>
        </is>
      </c>
      <c r="D147" s="13" t="inlineStr">
        <is>
          <t>？</t>
        </is>
      </c>
      <c r="E147" s="16" t="inlineStr">
        <is>
          <t>なし</t>
        </is>
      </c>
      <c r="F147" s="16" t="inlineStr"/>
      <c r="G147" s="16" t="inlineStr">
        <is>
          <t>割り勘・個別会計は公式資料で確認できず</t>
        </is>
      </c>
    </row>
    <row r="148">
      <c r="A148" s="16" t="inlineStr">
        <is>
          <t>Meetup</t>
        </is>
      </c>
      <c r="B148" s="16" t="inlineStr">
        <is>
          <t>FD08</t>
        </is>
      </c>
      <c r="C148" s="16" t="inlineStr">
        <is>
          <t>店探し・店選び支援</t>
        </is>
      </c>
      <c r="D148" s="13" t="inlineStr">
        <is>
          <t>？</t>
        </is>
      </c>
      <c r="E148" s="16" t="inlineStr">
        <is>
          <t>なし</t>
        </is>
      </c>
      <c r="F148" s="16" t="inlineStr"/>
      <c r="G148" s="16" t="inlineStr">
        <is>
          <t>店探し・店選び支援は確認できず(会場の検索・追加のみ)</t>
        </is>
      </c>
    </row>
    <row r="149">
      <c r="A149" s="16" t="inlineStr">
        <is>
          <t>Meetup</t>
        </is>
      </c>
      <c r="B149" s="16" t="inlineStr">
        <is>
          <t>FD09</t>
        </is>
      </c>
      <c r="C149" s="16" t="inlineStr">
        <is>
          <t>売り切れ・限定数の管理</t>
        </is>
      </c>
      <c r="D149" s="13" t="inlineStr">
        <is>
          <t>✅</t>
        </is>
      </c>
      <c r="E149" s="16" t="inlineStr">
        <is>
          <t>公式</t>
        </is>
      </c>
      <c r="F149" s="17" t="inlineStr">
        <is>
          <t>https://help.meetup.com/hc/en-us/articles/39790436736525-Creating-an-event</t>
        </is>
      </c>
      <c r="G149" s="16" t="inlineStr">
        <is>
          <t>Attendee limit(定員)、Allow guests、RSVP開始/終了時刻を設定でき、満席でウェイトリストへ回る</t>
        </is>
      </c>
    </row>
    <row r="150">
      <c r="A150" s="16" t="inlineStr">
        <is>
          <t>Meetup</t>
        </is>
      </c>
      <c r="B150" s="16" t="inlineStr">
        <is>
          <t>FD10</t>
        </is>
      </c>
      <c r="C150" s="16" t="inlineStr">
        <is>
          <t>提供形態の選択</t>
        </is>
      </c>
      <c r="D150" s="13" t="inlineStr">
        <is>
          <t>？</t>
        </is>
      </c>
      <c r="E150" s="16" t="inlineStr">
        <is>
          <t>なし</t>
        </is>
      </c>
      <c r="F150" s="16" t="inlineStr"/>
      <c r="G150" s="16" t="inlineStr">
        <is>
          <t>提供形態の選択は確認できず(対面/オンライン/ハイブリッドの選択はあるが飲食の提供形態ではない)</t>
        </is>
      </c>
    </row>
    <row r="151">
      <c r="A151" s="16" t="inlineStr">
        <is>
          <t>Meetup</t>
        </is>
      </c>
      <c r="B151" s="16" t="inlineStr">
        <is>
          <t>MN01</t>
        </is>
      </c>
      <c r="C151" s="16" t="inlineStr">
        <is>
          <t>手数料の明示</t>
        </is>
      </c>
      <c r="D151" s="13" t="inlineStr">
        <is>
          <t>✅</t>
        </is>
      </c>
      <c r="E151" s="16" t="inlineStr">
        <is>
          <t>公式</t>
        </is>
      </c>
      <c r="F151" s="17" t="inlineStr">
        <is>
          <t>https://help.meetup.com/hc/en-us/articles/39489419634189--Event-fees-Why-does-Meetup-charge-a-service-fee-for-ticketed-events</t>
        </is>
      </c>
      <c r="G151" s="16" t="inlineStr">
        <is>
          <t>参加者のサービス料の例($10→$1.62)と transaction fees table を公開。主催者プランの料金も公開(料金表の記事)</t>
        </is>
      </c>
    </row>
    <row r="152">
      <c r="A152" s="16" t="inlineStr">
        <is>
          <t>Meetup</t>
        </is>
      </c>
      <c r="B152" s="16" t="inlineStr">
        <is>
          <t>MN02</t>
        </is>
      </c>
      <c r="C152" s="16" t="inlineStr">
        <is>
          <t>主催者向け有料プラン</t>
        </is>
      </c>
      <c r="D152" s="13" t="inlineStr">
        <is>
          <t>✅</t>
        </is>
      </c>
      <c r="E152" s="16" t="inlineStr">
        <is>
          <t>公式</t>
        </is>
      </c>
      <c r="F152" s="17" t="inlineStr">
        <is>
          <t>https://help.meetup.com/hc/en-us/articles/28677808413197-Organizer-Subscription-prices-overview</t>
        </is>
      </c>
      <c r="G152" s="16" t="inlineStr">
        <is>
          <t>Standard 月$29.99〜・Pro 月$55〜(グループ単位)。地域・時期で変動。グロース根拠あり(負の事例: 課金後の離脱)</t>
        </is>
      </c>
    </row>
    <row r="153">
      <c r="A153" s="16" t="inlineStr">
        <is>
          <t>Meetup</t>
        </is>
      </c>
      <c r="B153" s="16" t="inlineStr">
        <is>
          <t>MN03</t>
        </is>
      </c>
      <c r="C153" s="16" t="inlineStr">
        <is>
          <t>任意チップ・寄付</t>
        </is>
      </c>
      <c r="D153" s="13" t="inlineStr">
        <is>
          <t>✅</t>
        </is>
      </c>
      <c r="E153" s="16" t="inlineStr">
        <is>
          <t>公式</t>
        </is>
      </c>
      <c r="F153" s="17" t="inlineStr">
        <is>
          <t>https://help.meetup.com/hc/en-us/articles/39790436736525-Creating-an-event</t>
        </is>
      </c>
      <c r="G153" s="16" t="inlineStr">
        <is>
          <t>イベント作成画面の Fundraising(任意寄付)と、グループ会費(member dues)・Pledge donations</t>
        </is>
      </c>
    </row>
    <row r="154">
      <c r="A154" s="16" t="inlineStr">
        <is>
          <t>Meetup</t>
        </is>
      </c>
      <c r="B154" s="16" t="inlineStr">
        <is>
          <t>MN04</t>
        </is>
      </c>
      <c r="C154" s="16" t="inlineStr">
        <is>
          <t>クーポン・割引コード</t>
        </is>
      </c>
      <c r="D154" s="13" t="inlineStr">
        <is>
          <t>？</t>
        </is>
      </c>
      <c r="E154" s="16" t="inlineStr">
        <is>
          <t>なし</t>
        </is>
      </c>
      <c r="F154" s="16" t="inlineStr"/>
      <c r="G154" s="16" t="inlineStr">
        <is>
          <t>クーポン・割引コードは公式資料で確認できず(割引は主催者が説明文で運用する例を実機で確認)</t>
        </is>
      </c>
    </row>
    <row r="155">
      <c r="A155" s="16" t="inlineStr">
        <is>
          <t>Meetup</t>
        </is>
      </c>
      <c r="B155" s="16" t="inlineStr">
        <is>
          <t>MN05</t>
        </is>
      </c>
      <c r="C155" s="16" t="inlineStr">
        <is>
          <t>ポイント・会員特典</t>
        </is>
      </c>
      <c r="D155" s="13" t="inlineStr">
        <is>
          <t>✅</t>
        </is>
      </c>
      <c r="E155" s="16" t="inlineStr">
        <is>
          <t>公式</t>
        </is>
      </c>
      <c r="F155" s="17" t="inlineStr">
        <is>
          <t>https://help.meetup.com/hc/en-us/articles/34744060726669-Meetup-vs-Free-Plan-Members-Key-Differences-and-Benefits</t>
        </is>
      </c>
      <c r="G155" s="16" t="inlineStr">
        <is>
          <t>Meetup+(会員向けサブスク): 有料イベントのサービス料免除、ウェイトリスト優先、First to Know、バッジ、広告なし</t>
        </is>
      </c>
    </row>
    <row r="156">
      <c r="A156" s="16" t="inlineStr">
        <is>
          <t>DICE</t>
        </is>
      </c>
      <c r="B156" s="16" t="inlineStr">
        <is>
          <t>DS01</t>
        </is>
      </c>
      <c r="C156" s="16" t="inlineStr">
        <is>
          <t>キーワード・カテゴリ検索</t>
        </is>
      </c>
      <c r="D156" s="13" t="inlineStr">
        <is>
          <t>✅</t>
        </is>
      </c>
      <c r="E156" s="16" t="inlineStr">
        <is>
          <t>公式</t>
        </is>
      </c>
      <c r="F156" s="17" t="inlineStr">
        <is>
          <t>https://dicefm.zendesk.com/hc/en-gb/articles/22365220986897-How-to-find-events-you-ll-love-on-DICE</t>
        </is>
      </c>
      <c r="G156" s="16" t="inlineStr">
        <is>
          <t>ホームフィード上部のカテゴリ(Tonight・This week・New shows・Late night・Culture・Comedy・Festivals)と、アーティスト・会場の検索</t>
        </is>
      </c>
    </row>
    <row r="157">
      <c r="A157" s="16" t="inlineStr">
        <is>
          <t>DICE</t>
        </is>
      </c>
      <c r="B157" s="16" t="inlineStr">
        <is>
          <t>DS02</t>
        </is>
      </c>
      <c r="C157" s="16" t="inlineStr">
        <is>
          <t>地域・地図検索</t>
        </is>
      </c>
      <c r="D157" s="13" t="inlineStr">
        <is>
          <t>✅</t>
        </is>
      </c>
      <c r="E157" s="16" t="inlineStr">
        <is>
          <t>公式</t>
        </is>
      </c>
      <c r="F157" s="17" t="inlineStr">
        <is>
          <t>https://dicefm.zendesk.com/hc/en-gb/articles/22365220986897-How-to-find-events-you-ll-love-on-DICE</t>
        </is>
      </c>
      <c r="G157" s="16" t="inlineStr">
        <is>
          <t>ホームで都市を設定、検索ページを下にスワイプすると出る地図で地域のイベントを探せる(地図は2021年に追加)</t>
        </is>
      </c>
    </row>
    <row r="158">
      <c r="A158" s="16" t="inlineStr">
        <is>
          <t>DICE</t>
        </is>
      </c>
      <c r="B158" s="16" t="inlineStr">
        <is>
          <t>DS03</t>
        </is>
      </c>
      <c r="C158" s="16" t="inlineStr">
        <is>
          <t>日付・価格等の絞り込み</t>
        </is>
      </c>
      <c r="D158" s="13" t="inlineStr">
        <is>
          <t>✅</t>
        </is>
      </c>
      <c r="E158" s="16" t="inlineStr">
        <is>
          <t>実機</t>
        </is>
      </c>
      <c r="F158" s="17" t="inlineStr">
        <is>
          <t>https://dice.fm/browse</t>
        </is>
      </c>
      <c r="G158" s="16" t="inlineStr">
        <is>
          <t>都市の一覧ページに DATE・PRICE フィルタとジャンル(Gigs・Workshop・DJ・Party・Art)の絞り込みがある(2026-10 実機)</t>
        </is>
      </c>
    </row>
    <row r="159">
      <c r="A159" s="16" t="inlineStr">
        <is>
          <t>DICE</t>
        </is>
      </c>
      <c r="B159" s="16" t="inlineStr">
        <is>
          <t>DS04</t>
        </is>
      </c>
      <c r="C159" s="16" t="inlineStr">
        <is>
          <t>パーソナライズ推薦</t>
        </is>
      </c>
      <c r="D159" s="13" t="inlineStr">
        <is>
          <t>✅</t>
        </is>
      </c>
      <c r="E159" s="16" t="inlineStr">
        <is>
          <t>公式</t>
        </is>
      </c>
      <c r="F159" s="17" t="inlineStr">
        <is>
          <t>https://dice.fm/partners/ticketing</t>
        </is>
      </c>
      <c r="G159" s="16" t="inlineStr">
        <is>
          <t>Spotify・Apple Music 連携と「into it / not it」でフィードを個別化(ヘルプ)。グロース根拠あり(自社主張: 販売の41%がDiscovery経由)</t>
        </is>
      </c>
    </row>
    <row r="160">
      <c r="A160" s="16" t="inlineStr">
        <is>
          <t>DICE</t>
        </is>
      </c>
      <c r="B160" s="16" t="inlineStr">
        <is>
          <t>DS05</t>
        </is>
      </c>
      <c r="C160" s="16" t="inlineStr">
        <is>
          <t>フォロー</t>
        </is>
      </c>
      <c r="D160" s="13" t="inlineStr">
        <is>
          <t>✅</t>
        </is>
      </c>
      <c r="E160" s="16" t="inlineStr">
        <is>
          <t>公式</t>
        </is>
      </c>
      <c r="F160" s="17" t="inlineStr">
        <is>
          <t>https://dicefm.zendesk.com/hc/en-gb/articles/22365422759313-Getting-started-with-DICE</t>
        </is>
      </c>
      <c r="G160" s="16" t="inlineStr">
        <is>
          <t>アーティスト・会場・友人をフォローして新着や特別オファーを受け取れる(会場フォローは2021年追加)</t>
        </is>
      </c>
    </row>
    <row r="161">
      <c r="A161" s="16" t="inlineStr">
        <is>
          <t>DICE</t>
        </is>
      </c>
      <c r="B161" s="16" t="inlineStr">
        <is>
          <t>DS06</t>
        </is>
      </c>
      <c r="C161" s="16" t="inlineStr">
        <is>
          <t>ブックマーク・ウィッシュリスト</t>
        </is>
      </c>
      <c r="D161" s="13" t="inlineStr">
        <is>
          <t>✅</t>
        </is>
      </c>
      <c r="E161" s="16" t="inlineStr">
        <is>
          <t>公式</t>
        </is>
      </c>
      <c r="F161" s="17" t="inlineStr">
        <is>
          <t>https://dicefm.zendesk.com/hc/en-gb/articles/22365422759313-Getting-started-with-DICE</t>
        </is>
      </c>
      <c r="G161" s="16" t="inlineStr">
        <is>
          <t>ハートで保存すると発売前・直前にプッシュとメールでリマインド。Remind me で発売前通知も設定可</t>
        </is>
      </c>
    </row>
    <row r="162">
      <c r="A162" s="16" t="inlineStr">
        <is>
          <t>DICE</t>
        </is>
      </c>
      <c r="B162" s="16" t="inlineStr">
        <is>
          <t>DS07</t>
        </is>
      </c>
      <c r="C162" s="16" t="inlineStr">
        <is>
          <t>公開ディレクトリ・都市×カテゴリページ</t>
        </is>
      </c>
      <c r="D162" s="13" t="inlineStr">
        <is>
          <t>✅</t>
        </is>
      </c>
      <c r="E162" s="16" t="inlineStr">
        <is>
          <t>実機</t>
        </is>
      </c>
      <c r="F162" s="17" t="inlineStr">
        <is>
          <t>https://dice.fm/browse</t>
        </is>
      </c>
      <c r="G162" s="16" t="inlineStr">
        <is>
          <t>都市別ページ(Popular Events in Seattle 等)とジャンル別ページ、/artists・/venues の一覧ページがある(2026-10 実機)</t>
        </is>
      </c>
    </row>
    <row r="163">
      <c r="A163" s="16" t="inlineStr">
        <is>
          <t>DICE</t>
        </is>
      </c>
      <c r="B163" s="16" t="inlineStr">
        <is>
          <t>DS08</t>
        </is>
      </c>
      <c r="C163" s="16" t="inlineStr">
        <is>
          <t>キュレーション・特集</t>
        </is>
      </c>
      <c r="D163" s="13" t="inlineStr">
        <is>
          <t>✅</t>
        </is>
      </c>
      <c r="E163" s="16" t="inlineStr">
        <is>
          <t>公式</t>
        </is>
      </c>
      <c r="F163" s="17" t="inlineStr">
        <is>
          <t>https://dicefm.zendesk.com/hc/en-gb/articles/22365220986897-How-to-find-events-you-ll-love-on-DICE</t>
        </is>
      </c>
      <c r="G163" s="16" t="inlineStr">
        <is>
          <t>メールでDICE insidersのおすすめ・今週のハイライトを配信、Discover に New / Upcoming 区画。グロース根拠あり(創業時に音楽編集者が選んだ「ロンドンのベスト100公演」から開始)</t>
        </is>
      </c>
    </row>
    <row r="164">
      <c r="A164" s="16" t="inlineStr">
        <is>
          <t>DICE</t>
        </is>
      </c>
      <c r="B164" s="16" t="inlineStr">
        <is>
          <t>JN01</t>
        </is>
      </c>
      <c r="C164" s="16" t="inlineStr">
        <is>
          <t>アカウント不要の申込</t>
        </is>
      </c>
      <c r="D164" s="13" t="inlineStr">
        <is>
          <t>❌</t>
        </is>
      </c>
      <c r="E164" s="16" t="inlineStr">
        <is>
          <t>公式</t>
        </is>
      </c>
      <c r="F164" s="17" t="inlineStr">
        <is>
          <t>https://dicefm.zendesk.com/hc/en-gb/articles/4409604062481-Create-an-account</t>
        </is>
      </c>
      <c r="G164" s="16" t="inlineStr">
        <is>
          <t>電話番号認証のアカウントとアプリが必須。チケットはアプリ内でのみ受け取れる、とヘルプに明記</t>
        </is>
      </c>
    </row>
    <row r="165">
      <c r="A165" s="16" t="inlineStr">
        <is>
          <t>DICE</t>
        </is>
      </c>
      <c r="B165" s="16" t="inlineStr">
        <is>
          <t>JN02</t>
        </is>
      </c>
      <c r="C165" s="16" t="inlineStr">
        <is>
          <t>簡易ログイン</t>
        </is>
      </c>
      <c r="D165" s="13" t="inlineStr">
        <is>
          <t>✅</t>
        </is>
      </c>
      <c r="E165" s="16" t="inlineStr">
        <is>
          <t>公式</t>
        </is>
      </c>
      <c r="F165" s="17" t="inlineStr">
        <is>
          <t>https://dicefm.zendesk.com/hc/en-gb/articles/4409604062481-Create-an-account</t>
        </is>
      </c>
      <c r="G165" s="16" t="inlineStr">
        <is>
          <t>電話番号+SMSの4桁コードでログイン(パスワード不要)。氏名・メール・生年月日を登録</t>
        </is>
      </c>
    </row>
    <row r="166">
      <c r="A166" s="16" t="inlineStr">
        <is>
          <t>DICE</t>
        </is>
      </c>
      <c r="B166" s="16" t="inlineStr">
        <is>
          <t>JN03</t>
        </is>
      </c>
      <c r="C166" s="16" t="inlineStr">
        <is>
          <t>承認制・参加申請</t>
        </is>
      </c>
      <c r="D166" s="13" t="inlineStr">
        <is>
          <t>？</t>
        </is>
      </c>
      <c r="E166" s="16" t="inlineStr">
        <is>
          <t>なし</t>
        </is>
      </c>
      <c r="F166" s="16" t="inlineStr"/>
      <c r="G166" s="16" t="inlineStr">
        <is>
          <t>参加可否を主催者が承認する機能は公式資料で確認できず(ゲストリスト配布はあり)</t>
        </is>
      </c>
    </row>
    <row r="167">
      <c r="A167" s="16" t="inlineStr">
        <is>
          <t>DICE</t>
        </is>
      </c>
      <c r="B167" s="16" t="inlineStr">
        <is>
          <t>JN04</t>
        </is>
      </c>
      <c r="C167" s="16" t="inlineStr">
        <is>
          <t>ウェイトリスト</t>
        </is>
      </c>
      <c r="D167" s="13" t="inlineStr">
        <is>
          <t>✅</t>
        </is>
      </c>
      <c r="E167" s="16" t="inlineStr">
        <is>
          <t>公式</t>
        </is>
      </c>
      <c r="F167" s="17" t="inlineStr">
        <is>
          <t>https://dicefm.zendesk.com/hc/en-gb/articles/19958073128849-The-wait-list-explained</t>
        </is>
      </c>
      <c r="G167" s="16" t="inlineStr">
        <is>
          <t>売り切れ後に返却チケットを待機者へ順番に配分する Wait List。有効化は主催者の判断。グロース根拠あり(自社主張: ウェイトリストで需要を検証し追加公演、Fever は12,000人超の公開前ウェイトリストで完売)</t>
        </is>
      </c>
    </row>
    <row r="168">
      <c r="A168" s="16" t="inlineStr">
        <is>
          <t>DICE</t>
        </is>
      </c>
      <c r="B168" s="16" t="inlineStr">
        <is>
          <t>JN05</t>
        </is>
      </c>
      <c r="C168" s="16" t="inlineStr">
        <is>
          <t>定員・残席の表示</t>
        </is>
      </c>
      <c r="D168" s="13" t="inlineStr">
        <is>
          <t>✅</t>
        </is>
      </c>
      <c r="E168" s="16" t="inlineStr">
        <is>
          <t>実機</t>
        </is>
      </c>
      <c r="F168" s="17" t="inlineStr">
        <is>
          <t>https://dice.fm/event/923pw6-eazybaked-and-distinct-motive-at-exit-206-17th-oct-the-shop-seattle-tickets</t>
        </is>
      </c>
      <c r="G168" s="16" t="inlineStr">
        <is>
          <t>イベントページに capacity(例: 2500 capacity)と価格を表示。ティア制で枚数管理。リアルタイムの残席表示は未確認</t>
        </is>
      </c>
    </row>
    <row r="169">
      <c r="A169" s="16" t="inlineStr">
        <is>
          <t>DICE</t>
        </is>
      </c>
      <c r="B169" s="16" t="inlineStr">
        <is>
          <t>JN06</t>
        </is>
      </c>
      <c r="C169" s="16" t="inlineStr">
        <is>
          <t>追加質問・同行者の入力</t>
        </is>
      </c>
      <c r="D169" s="13" t="inlineStr">
        <is>
          <t>？</t>
        </is>
      </c>
      <c r="E169" s="16" t="inlineStr">
        <is>
          <t>なし</t>
        </is>
      </c>
      <c r="F169" s="16" t="inlineStr"/>
      <c r="G169" s="16" t="inlineStr">
        <is>
          <t>申込時の質問項目・同行者入力は公式資料で確認できず(チケットは購入者のアプリに紐づく。友人へは Send to a friend で転送)</t>
        </is>
      </c>
    </row>
    <row r="170">
      <c r="A170" s="16" t="inlineStr">
        <is>
          <t>DICE</t>
        </is>
      </c>
      <c r="B170" s="16" t="inlineStr">
        <is>
          <t>JN07</t>
        </is>
      </c>
      <c r="C170" s="16" t="inlineStr">
        <is>
          <t>参加者のセルフキャンセル</t>
        </is>
      </c>
      <c r="D170" s="13" t="inlineStr">
        <is>
          <t>△</t>
        </is>
      </c>
      <c r="E170" s="16" t="inlineStr">
        <is>
          <t>公式</t>
        </is>
      </c>
      <c r="F170" s="17" t="inlineStr">
        <is>
          <t>https://dicefm.zendesk.com/hc/en-gb/articles/4409603669777-When-are-you-entitled-to-a-refund</t>
        </is>
      </c>
      <c r="G170" s="16" t="inlineStr">
        <is>
          <t>原則返金不可。中止・延期、主催者設定のクーリングオフ(購入後24時間等)、Wait Listで売れた場合のみ返金。Refund Protection(第三者保険)あり</t>
        </is>
      </c>
    </row>
    <row r="171">
      <c r="A171" s="16" t="inlineStr">
        <is>
          <t>DICE</t>
        </is>
      </c>
      <c r="B171" s="16" t="inlineStr">
        <is>
          <t>JN08</t>
        </is>
      </c>
      <c r="C171" s="16" t="inlineStr">
        <is>
          <t>カレンダー追加</t>
        </is>
      </c>
      <c r="D171" s="13" t="inlineStr">
        <is>
          <t>？</t>
        </is>
      </c>
      <c r="E171" s="16" t="inlineStr">
        <is>
          <t>なし</t>
        </is>
      </c>
      <c r="F171" s="16" t="inlineStr"/>
      <c r="G171" s="16" t="inlineStr">
        <is>
          <t>カレンダー追加・購読は公式資料で確認できず(保存イベントのリマインドのみ)</t>
        </is>
      </c>
    </row>
    <row r="172">
      <c r="A172" s="16" t="inlineStr">
        <is>
          <t>DICE</t>
        </is>
      </c>
      <c r="B172" s="16" t="inlineStr">
        <is>
          <t>JN09</t>
        </is>
      </c>
      <c r="C172" s="16" t="inlineStr">
        <is>
          <t>開催前リマインド</t>
        </is>
      </c>
      <c r="D172" s="13" t="inlineStr">
        <is>
          <t>✅</t>
        </is>
      </c>
      <c r="E172" s="16" t="inlineStr">
        <is>
          <t>公式</t>
        </is>
      </c>
      <c r="F172" s="17" t="inlineStr">
        <is>
          <t>https://dicefm.zendesk.com/hc/en-gb/articles/22365422759313-Getting-started-with-DICE</t>
        </is>
      </c>
      <c r="G172" s="16" t="inlineStr">
        <is>
          <t>保存イベントの直前リマインドをプッシュとメールで送信し、チケット残りわずかも通知。発売前の Remind me もある</t>
        </is>
      </c>
    </row>
    <row r="173">
      <c r="A173" s="16" t="inlineStr">
        <is>
          <t>DICE</t>
        </is>
      </c>
      <c r="B173" s="16" t="inlineStr">
        <is>
          <t>JN10</t>
        </is>
      </c>
      <c r="C173" s="16" t="inlineStr">
        <is>
          <t>QRチケット・当日受付</t>
        </is>
      </c>
      <c r="D173" s="13" t="inlineStr">
        <is>
          <t>✅</t>
        </is>
      </c>
      <c r="E173" s="16" t="inlineStr">
        <is>
          <t>公式</t>
        </is>
      </c>
      <c r="F173" s="17" t="inlineStr">
        <is>
          <t>https://dicefm.zendesk.com/hc/en-gb/articles/22367835146513-Why-we-ask-you-to-download-our-app</t>
        </is>
      </c>
      <c r="G173" s="16" t="inlineStr">
        <is>
          <t>アプリ内の電話番号に紐づく固有QRコードで入場。紙・PDF は発行しない</t>
        </is>
      </c>
    </row>
    <row r="174">
      <c r="A174" s="16" t="inlineStr">
        <is>
          <t>DICE</t>
        </is>
      </c>
      <c r="B174" s="16" t="inlineStr">
        <is>
          <t>JN11</t>
        </is>
      </c>
      <c r="C174" s="16" t="inlineStr">
        <is>
          <t>参加者一覧の閲覧</t>
        </is>
      </c>
      <c r="D174" s="13" t="inlineStr">
        <is>
          <t>△</t>
        </is>
      </c>
      <c r="E174" s="16" t="inlineStr">
        <is>
          <t>公式</t>
        </is>
      </c>
      <c r="F174" s="17" t="inlineStr">
        <is>
          <t>https://dicefm.zendesk.com/hc/en-gb/articles/22365220986897-How-to-find-events-you-ll-love-on-DICE</t>
        </is>
      </c>
      <c r="G174" s="16" t="inlineStr">
        <is>
          <t>友人フォロー(フォローリクエスト制)で、友人が保存・購入したイベントを閲覧できる。一般参加者の公開一覧は未確認</t>
        </is>
      </c>
    </row>
    <row r="175">
      <c r="A175" s="16" t="inlineStr">
        <is>
          <t>DICE</t>
        </is>
      </c>
      <c r="B175" s="16" t="inlineStr">
        <is>
          <t>JN12</t>
        </is>
      </c>
      <c r="C175" s="16" t="inlineStr">
        <is>
          <t>イベント後の体験</t>
        </is>
      </c>
      <c r="D175" s="13" t="inlineStr">
        <is>
          <t>？</t>
        </is>
      </c>
      <c r="E175" s="16" t="inlineStr">
        <is>
          <t>なし</t>
        </is>
      </c>
      <c r="F175" s="16" t="inlineStr"/>
      <c r="G175" s="16" t="inlineStr">
        <is>
          <t>イベント後のレビュー・写真アルバム・事後メッセージは公式資料で確認できず</t>
        </is>
      </c>
    </row>
    <row r="176">
      <c r="A176" s="16" t="inlineStr">
        <is>
          <t>DICE</t>
        </is>
      </c>
      <c r="B176" s="16" t="inlineStr">
        <is>
          <t>SH01</t>
        </is>
      </c>
      <c r="C176" s="16" t="inlineStr">
        <is>
          <t>共有用URL・OGPカード</t>
        </is>
      </c>
      <c r="D176" s="13" t="inlineStr">
        <is>
          <t>✅</t>
        </is>
      </c>
      <c r="E176" s="16" t="inlineStr">
        <is>
          <t>実機</t>
        </is>
      </c>
      <c r="F176" s="17" t="inlineStr">
        <is>
          <t>https://dice.fm/event/923pw6-eazybaked-and-distinct-motive-at-exit-206-17th-oct-the-shop-seattle-tickets</t>
        </is>
      </c>
      <c r="G176" s="16" t="inlineStr">
        <is>
          <t>og:title・og:description・og:image(1200×630)・twitter:image と schema.org MusicEvent を確認(2026-10 実機)</t>
        </is>
      </c>
    </row>
    <row r="177">
      <c r="A177" s="16" t="inlineStr">
        <is>
          <t>DICE</t>
        </is>
      </c>
      <c r="B177" s="16" t="inlineStr">
        <is>
          <t>SH02</t>
        </is>
      </c>
      <c r="C177" s="16" t="inlineStr">
        <is>
          <t>SNS・メッセージ共有ボタン</t>
        </is>
      </c>
      <c r="D177" s="13" t="inlineStr">
        <is>
          <t>✅</t>
        </is>
      </c>
      <c r="E177" s="16" t="inlineStr">
        <is>
          <t>公式</t>
        </is>
      </c>
      <c r="F177" s="17" t="inlineStr">
        <is>
          <t>https://dicefm.zendesk.com/hc/en-gb/articles/22365220986897-How-to-find-events-you-ll-love-on-DICE</t>
        </is>
      </c>
      <c r="G177" s="16" t="inlineStr">
        <is>
          <t>イベントページの Invite friends でアプリから友人へ共有・招待できる。共有先(LINE・X 等)の網羅は未確認</t>
        </is>
      </c>
    </row>
    <row r="178">
      <c r="A178" s="16" t="inlineStr">
        <is>
          <t>DICE</t>
        </is>
      </c>
      <c r="B178" s="16" t="inlineStr">
        <is>
          <t>SH03</t>
        </is>
      </c>
      <c r="C178" s="16" t="inlineStr">
        <is>
          <t>友人・同行者の招待導線</t>
        </is>
      </c>
      <c r="D178" s="13" t="inlineStr">
        <is>
          <t>✅</t>
        </is>
      </c>
      <c r="E178" s="16" t="inlineStr">
        <is>
          <t>公式</t>
        </is>
      </c>
      <c r="F178" s="17" t="inlineStr">
        <is>
          <t>https://dicefm.zendesk.com/hc/en-gb/articles/20137793751441-Create-groups-to-make-plans-with-friends</t>
        </is>
      </c>
      <c r="G178" s="16" t="inlineStr">
        <is>
          <t>Invite friends、グループ作成(リンクを知っていれば誰でも参加)、連絡先から友人発見の導線がある</t>
        </is>
      </c>
    </row>
    <row r="179">
      <c r="A179" s="16" t="inlineStr">
        <is>
          <t>DICE</t>
        </is>
      </c>
      <c r="B179" s="16" t="inlineStr">
        <is>
          <t>SH04</t>
        </is>
      </c>
      <c r="C179" s="16" t="inlineStr">
        <is>
          <t>紹介リンク・紹介の可視化</t>
        </is>
      </c>
      <c r="D179" s="13" t="inlineStr">
        <is>
          <t>△</t>
        </is>
      </c>
      <c r="E179" s="16" t="inlineStr">
        <is>
          <t>公式</t>
        </is>
      </c>
      <c r="F179" s="17" t="inlineStr">
        <is>
          <t>https://dice.fm/blog/dices-big-fat-2021-product-round-up</t>
        </is>
      </c>
      <c r="G179" s="16" t="inlineStr">
        <is>
          <t>主催者向けトラッキングリンクで購入元を計測(2021年発表)。参加者個人の紹介リンク・紹介報酬は確認できず</t>
        </is>
      </c>
    </row>
    <row r="180">
      <c r="A180" s="16" t="inlineStr">
        <is>
          <t>DICE</t>
        </is>
      </c>
      <c r="B180" s="16" t="inlineStr">
        <is>
          <t>SH05</t>
        </is>
      </c>
      <c r="C180" s="16" t="inlineStr">
        <is>
          <t>連絡先・SNS連携で友人発見</t>
        </is>
      </c>
      <c r="D180" s="13" t="inlineStr">
        <is>
          <t>✅</t>
        </is>
      </c>
      <c r="E180" s="16" t="inlineStr">
        <is>
          <t>公式</t>
        </is>
      </c>
      <c r="F180" s="17" t="inlineStr">
        <is>
          <t>https://dicefm.zendesk.com/hc/en-gb/articles/22363037002897-How-to-sync-your-contacts-and-find-friends-on-DICE</t>
        </is>
      </c>
      <c r="G180" s="16" t="inlineStr">
        <is>
          <t>連絡先同期で DICE 利用中の友人を発見。電話番号は暗号化してマッチングし、サーバーに保存しないと明記</t>
        </is>
      </c>
    </row>
    <row r="181">
      <c r="A181" s="16" t="inlineStr">
        <is>
          <t>DICE</t>
        </is>
      </c>
      <c r="B181" s="16" t="inlineStr">
        <is>
          <t>SH06</t>
        </is>
      </c>
      <c r="C181" s="16" t="inlineStr">
        <is>
          <t>社会的証明の表示</t>
        </is>
      </c>
      <c r="D181" s="13" t="inlineStr">
        <is>
          <t>✅</t>
        </is>
      </c>
      <c r="E181" s="16" t="inlineStr">
        <is>
          <t>公式</t>
        </is>
      </c>
      <c r="F181" s="17" t="inlineStr">
        <is>
          <t>https://dicefm.zendesk.com/hc/en-gb/articles/20137793751441-Create-groups-to-make-plans-with-friends</t>
        </is>
      </c>
      <c r="G181" s="16" t="inlineStr">
        <is>
          <t>グループ内で誰がどのイベントに関心があるかを可視化(See who's interested)、友人の保存・購入を閲覧</t>
        </is>
      </c>
    </row>
    <row r="182">
      <c r="A182" s="16" t="inlineStr">
        <is>
          <t>DICE</t>
        </is>
      </c>
      <c r="B182" s="16" t="inlineStr">
        <is>
          <t>SH07</t>
        </is>
      </c>
      <c r="C182" s="16" t="inlineStr">
        <is>
          <t>QR・短縮URL・チラシ生成</t>
        </is>
      </c>
      <c r="D182" s="13" t="inlineStr">
        <is>
          <t>✅</t>
        </is>
      </c>
      <c r="E182" s="16" t="inlineStr">
        <is>
          <t>公式</t>
        </is>
      </c>
      <c r="F182" s="17" t="inlineStr">
        <is>
          <t>https://dice.fm/blog/dices-big-fat-2021-product-round-up</t>
        </is>
      </c>
      <c r="G182" s="16" t="inlineStr">
        <is>
          <t>購入フローに直結するQRコードを主催者がメール・ポスター等に使える(2021年発表)</t>
        </is>
      </c>
    </row>
    <row r="183">
      <c r="A183" s="16" t="inlineStr">
        <is>
          <t>DICE</t>
        </is>
      </c>
      <c r="B183" s="16" t="inlineStr">
        <is>
          <t>SH08</t>
        </is>
      </c>
      <c r="C183" s="16" t="inlineStr">
        <is>
          <t>埋め込みウィジェット</t>
        </is>
      </c>
      <c r="D183" s="13" t="inlineStr">
        <is>
          <t>△</t>
        </is>
      </c>
      <c r="E183" s="16" t="inlineStr">
        <is>
          <t>公式</t>
        </is>
      </c>
      <c r="F183" s="17" t="inlineStr">
        <is>
          <t>https://dice.fm/partners/ticketing</t>
        </is>
      </c>
      <c r="G183" s="16" t="inlineStr">
        <is>
          <t>自社サイトでのチェックアウトと Spotify・YouTube からの購入導線(Smart integrations)。ウィジェットの形態は未確認</t>
        </is>
      </c>
    </row>
    <row r="184">
      <c r="A184" s="16" t="inlineStr">
        <is>
          <t>DICE</t>
        </is>
      </c>
      <c r="B184" s="16" t="inlineStr">
        <is>
          <t>OP01</t>
        </is>
      </c>
      <c r="C184" s="16" t="inlineStr">
        <is>
          <t>簡単な作成</t>
        </is>
      </c>
      <c r="D184" s="13" t="inlineStr">
        <is>
          <t>△</t>
        </is>
      </c>
      <c r="E184" s="16" t="inlineStr">
        <is>
          <t>公式</t>
        </is>
      </c>
      <c r="F184" s="17" t="inlineStr">
        <is>
          <t>https://dice.fm/partners/work-with-us/promoters</t>
        </is>
      </c>
      <c r="G184" s="16" t="inlineStr">
        <is>
          <t>Creator tool(MIO)でイベントを作成・管理。プロモーターアカウント登録後に利用。所要時間・テンプレートは未確認</t>
        </is>
      </c>
    </row>
    <row r="185">
      <c r="A185" s="16" t="inlineStr">
        <is>
          <t>DICE</t>
        </is>
      </c>
      <c r="B185" s="16" t="inlineStr">
        <is>
          <t>OP02</t>
        </is>
      </c>
      <c r="C185" s="16" t="inlineStr">
        <is>
          <t>コピー・繰り返し作成</t>
        </is>
      </c>
      <c r="D185" s="13" t="inlineStr">
        <is>
          <t>？</t>
        </is>
      </c>
      <c r="E185" s="16" t="inlineStr">
        <is>
          <t>なし</t>
        </is>
      </c>
      <c r="F185" s="16" t="inlineStr"/>
      <c r="G185" s="16" t="inlineStr">
        <is>
          <t>イベントの複製・シリーズ作成は公式資料で確認できず</t>
        </is>
      </c>
    </row>
    <row r="186">
      <c r="A186" s="16" t="inlineStr">
        <is>
          <t>DICE</t>
        </is>
      </c>
      <c r="B186" s="16" t="inlineStr">
        <is>
          <t>OP03</t>
        </is>
      </c>
      <c r="C186" s="16" t="inlineStr">
        <is>
          <t>下書き・限定公開</t>
        </is>
      </c>
      <c r="D186" s="13" t="inlineStr">
        <is>
          <t>△</t>
        </is>
      </c>
      <c r="E186" s="16" t="inlineStr">
        <is>
          <t>実機</t>
        </is>
      </c>
      <c r="F186" s="17" t="inlineStr">
        <is>
          <t>https://dice.fm/event/923pw6-eazybaked-and-distinct-motive-at-exit-206-17th-oct-the-shop-seattle-tickets</t>
        </is>
      </c>
      <c r="G186" s="16" t="inlineStr">
        <is>
          <t>ロックされたチケット(コード入力)とプリセール設定を確認。下書き・URL限定公開・非公開は公式資料で確認できず</t>
        </is>
      </c>
    </row>
    <row r="187">
      <c r="A187" s="16" t="inlineStr">
        <is>
          <t>DICE</t>
        </is>
      </c>
      <c r="B187" s="16" t="inlineStr">
        <is>
          <t>OP04</t>
        </is>
      </c>
      <c r="C187" s="16" t="inlineStr">
        <is>
          <t>AI作成支援</t>
        </is>
      </c>
      <c r="D187" s="13" t="inlineStr">
        <is>
          <t>？</t>
        </is>
      </c>
      <c r="E187" s="16" t="inlineStr">
        <is>
          <t>なし</t>
        </is>
      </c>
      <c r="F187" s="16" t="inlineStr"/>
      <c r="G187" s="16" t="inlineStr">
        <is>
          <t>AIによる作成支援は公式資料で確認できず</t>
        </is>
      </c>
    </row>
    <row r="188">
      <c r="A188" s="16" t="inlineStr">
        <is>
          <t>DICE</t>
        </is>
      </c>
      <c r="B188" s="16" t="inlineStr">
        <is>
          <t>OP05</t>
        </is>
      </c>
      <c r="C188" s="16" t="inlineStr">
        <is>
          <t>共同主催・運営メンバー権限</t>
        </is>
      </c>
      <c r="D188" s="13" t="inlineStr">
        <is>
          <t>？</t>
        </is>
      </c>
      <c r="E188" s="16" t="inlineStr">
        <is>
          <t>なし</t>
        </is>
      </c>
      <c r="F188" s="16" t="inlineStr"/>
      <c r="G188" s="16" t="inlineStr">
        <is>
          <t>共同主催・権限分離は公式ページで確認できず(検索要約にMIOでプロモーターをゲスト招待できるとの記述あり、未確認)</t>
        </is>
      </c>
    </row>
    <row r="189">
      <c r="A189" s="16" t="inlineStr">
        <is>
          <t>DICE</t>
        </is>
      </c>
      <c r="B189" s="16" t="inlineStr">
        <is>
          <t>OP06</t>
        </is>
      </c>
      <c r="C189" s="16" t="inlineStr">
        <is>
          <t>参加者管理・名簿出力</t>
        </is>
      </c>
      <c r="D189" s="13" t="inlineStr">
        <is>
          <t>△</t>
        </is>
      </c>
      <c r="E189" s="16" t="inlineStr">
        <is>
          <t>公式</t>
        </is>
      </c>
      <c r="F189" s="17" t="inlineStr">
        <is>
          <t>https://dice.fm/blog/identify-fan-demand-with-the-waiting-list</t>
        </is>
      </c>
      <c r="G189" s="16" t="inlineStr">
        <is>
          <t>購入者・チェックイン済・Wait List 登録者の確認ができる(Hackney Church 事例の引用)。名簿のCSV出力は確認できず</t>
        </is>
      </c>
    </row>
    <row r="190">
      <c r="A190" s="16" t="inlineStr">
        <is>
          <t>DICE</t>
        </is>
      </c>
      <c r="B190" s="16" t="inlineStr">
        <is>
          <t>OP07</t>
        </is>
      </c>
      <c r="C190" s="16" t="inlineStr">
        <is>
          <t>一斉メッセージ</t>
        </is>
      </c>
      <c r="D190" s="13" t="inlineStr">
        <is>
          <t>△</t>
        </is>
      </c>
      <c r="E190" s="16" t="inlineStr">
        <is>
          <t>公式</t>
        </is>
      </c>
      <c r="F190" s="17" t="inlineStr">
        <is>
          <t>https://dice.fm/blog/identify-fan-demand-with-the-waiting-list</t>
        </is>
      </c>
      <c r="G190" s="16" t="inlineStr">
        <is>
          <t>Wait List 登録者などへ DICE 経由でパーソナライズ配信ができる。主催者が自由に一斉送信できるかは未確認</t>
        </is>
      </c>
    </row>
    <row r="191">
      <c r="A191" s="16" t="inlineStr">
        <is>
          <t>DICE</t>
        </is>
      </c>
      <c r="B191" s="16" t="inlineStr">
        <is>
          <t>OP08</t>
        </is>
      </c>
      <c r="C191" s="16" t="inlineStr">
        <is>
          <t>当日運営ツール</t>
        </is>
      </c>
      <c r="D191" s="13" t="inlineStr">
        <is>
          <t>✅</t>
        </is>
      </c>
      <c r="E191" s="16" t="inlineStr">
        <is>
          <t>公式</t>
        </is>
      </c>
      <c r="F191" s="17" t="inlineStr">
        <is>
          <t>https://dice.fm/partners/ticketing</t>
        </is>
      </c>
      <c r="G191" s="16" t="inlineStr">
        <is>
          <t>規模に応じた入場ソリューション(Instant access)とアプリ内QR。チェックイン状況の確認は事例引用のみ</t>
        </is>
      </c>
    </row>
    <row r="192">
      <c r="A192" s="16" t="inlineStr">
        <is>
          <t>DICE</t>
        </is>
      </c>
      <c r="B192" s="16" t="inlineStr">
        <is>
          <t>OP09</t>
        </is>
      </c>
      <c r="C192" s="16" t="inlineStr">
        <is>
          <t>売上・入金管理</t>
        </is>
      </c>
      <c r="D192" s="13" t="inlineStr">
        <is>
          <t>✅</t>
        </is>
      </c>
      <c r="E192" s="16" t="inlineStr">
        <is>
          <t>公式</t>
        </is>
      </c>
      <c r="F192" s="17" t="inlineStr">
        <is>
          <t>https://dice.fm/partners/ticketing</t>
        </is>
      </c>
      <c r="G192" s="16" t="inlineStr">
        <is>
          <t>リアルタイム売上の確認と payouts(支払い)の管理。入金サイクルの詳細は未確認</t>
        </is>
      </c>
    </row>
    <row r="193">
      <c r="A193" s="16" t="inlineStr">
        <is>
          <t>DICE</t>
        </is>
      </c>
      <c r="B193" s="16" t="inlineStr">
        <is>
          <t>OP10</t>
        </is>
      </c>
      <c r="C193" s="16" t="inlineStr">
        <is>
          <t>流入・申込の分析</t>
        </is>
      </c>
      <c r="D193" s="13" t="inlineStr">
        <is>
          <t>✅</t>
        </is>
      </c>
      <c r="E193" s="16" t="inlineStr">
        <is>
          <t>公式</t>
        </is>
      </c>
      <c r="F193" s="17" t="inlineStr">
        <is>
          <t>https://dice.fm/partners/ticketing</t>
        </is>
      </c>
      <c r="G193" s="16" t="inlineStr">
        <is>
          <t>リアルタイム売上・マーケティング帰属・オーディエンスインサイト。トラッキングリンク(2021年発表)</t>
        </is>
      </c>
    </row>
    <row r="194">
      <c r="A194" s="16" t="inlineStr">
        <is>
          <t>DICE</t>
        </is>
      </c>
      <c r="B194" s="16" t="inlineStr">
        <is>
          <t>OP11</t>
        </is>
      </c>
      <c r="C194" s="16" t="inlineStr">
        <is>
          <t>主催者ページ・グループページ</t>
        </is>
      </c>
      <c r="D194" s="13" t="inlineStr">
        <is>
          <t>✅</t>
        </is>
      </c>
      <c r="E194" s="16" t="inlineStr">
        <is>
          <t>公式</t>
        </is>
      </c>
      <c r="F194" s="17" t="inlineStr">
        <is>
          <t>https://dice.fm/blog/dices-big-fat-2021-product-round-up</t>
        </is>
      </c>
      <c r="G194" s="16" t="inlineStr">
        <is>
          <t>会場・アーティストの公開プロフィール(収容人数・今後のイベント・フォロー)。会場フォロー追加は2021年</t>
        </is>
      </c>
    </row>
    <row r="195">
      <c r="A195" s="16" t="inlineStr">
        <is>
          <t>DICE</t>
        </is>
      </c>
      <c r="B195" s="16" t="inlineStr">
        <is>
          <t>OP12</t>
        </is>
      </c>
      <c r="C195" s="16" t="inlineStr">
        <is>
          <t>外部ツール連携・API</t>
        </is>
      </c>
      <c r="D195" s="13" t="inlineStr">
        <is>
          <t>✅</t>
        </is>
      </c>
      <c r="E195" s="16" t="inlineStr">
        <is>
          <t>公式</t>
        </is>
      </c>
      <c r="F195" s="17" t="inlineStr">
        <is>
          <t>https://dice.fm/blog/dices-big-fat-2021-product-round-up</t>
        </is>
      </c>
      <c r="G195" s="16" t="inlineStr">
        <is>
          <t>Mailchimp 連携(購買タグ付きでファンをインポート)、Ticket Holder API、Spotify・YouTube 連携(いずれも2021年発表)</t>
        </is>
      </c>
    </row>
    <row r="196">
      <c r="A196" s="16" t="inlineStr">
        <is>
          <t>DICE</t>
        </is>
      </c>
      <c r="B196" s="16" t="inlineStr">
        <is>
          <t>AC01</t>
        </is>
      </c>
      <c r="C196" s="16" t="inlineStr">
        <is>
          <t>無料イベントは無料</t>
        </is>
      </c>
      <c r="D196" s="13" t="inlineStr">
        <is>
          <t>？</t>
        </is>
      </c>
      <c r="E196" s="16" t="inlineStr">
        <is>
          <t>なし</t>
        </is>
      </c>
      <c r="F196" s="16" t="inlineStr"/>
      <c r="G196" s="16" t="inlineStr">
        <is>
          <t>無料イベントの掲載(Free 表示)は実機で確認したが、主催者手数料・固定費の有無は公式資料で確認できず</t>
        </is>
      </c>
    </row>
    <row r="197">
      <c r="A197" s="16" t="inlineStr">
        <is>
          <t>DICE</t>
        </is>
      </c>
      <c r="B197" s="16" t="inlineStr">
        <is>
          <t>AC02</t>
        </is>
      </c>
      <c r="C197" s="16" t="inlineStr">
        <is>
          <t>手数料負担の選択</t>
        </is>
      </c>
      <c r="D197" s="13" t="inlineStr">
        <is>
          <t>？</t>
        </is>
      </c>
      <c r="E197" s="16" t="inlineStr">
        <is>
          <t>なし</t>
        </is>
      </c>
      <c r="F197" s="16" t="inlineStr"/>
      <c r="G197" s="16" t="inlineStr">
        <is>
          <t>公式ヘルプは総額表示で、手数料を DICE と主催者で分けると説明。購入者/主催者負担を主催者が選べる記載は確認できず</t>
        </is>
      </c>
    </row>
    <row r="198">
      <c r="A198" s="16" t="inlineStr">
        <is>
          <t>DICE</t>
        </is>
      </c>
      <c r="B198" s="16" t="inlineStr">
        <is>
          <t>AC03</t>
        </is>
      </c>
      <c r="C198" s="16" t="inlineStr">
        <is>
          <t>参加者データの所有・出力</t>
        </is>
      </c>
      <c r="D198" s="13" t="inlineStr">
        <is>
          <t>△</t>
        </is>
      </c>
      <c r="E198" s="16" t="inlineStr">
        <is>
          <t>公式</t>
        </is>
      </c>
      <c r="F198" s="17" t="inlineStr">
        <is>
          <t>https://dice.fm/blog/dices-big-fat-2021-product-round-up</t>
        </is>
      </c>
      <c r="G198" s="16" t="inlineStr">
        <is>
          <t>Ticket Holder API と Mailchimp 連携でファンデータを取得可(2021年発表)。CSV出力の可否は未確認。競合比較表は DICE を No と評価[競合発信]</t>
        </is>
      </c>
    </row>
    <row r="199">
      <c r="A199" s="16" t="inlineStr">
        <is>
          <t>DICE</t>
        </is>
      </c>
      <c r="B199" s="16" t="inlineStr">
        <is>
          <t>AC04</t>
        </is>
      </c>
      <c r="C199" s="16" t="inlineStr">
        <is>
          <t>他サービスからの移行</t>
        </is>
      </c>
      <c r="D199" s="13" t="inlineStr">
        <is>
          <t>？</t>
        </is>
      </c>
      <c r="E199" s="16" t="inlineStr">
        <is>
          <t>なし</t>
        </is>
      </c>
      <c r="F199" s="16" t="inlineStr"/>
      <c r="G199" s="16" t="inlineStr">
        <is>
          <t>他サービスからの情報・参加者の移行支援は公式資料で確認できず</t>
        </is>
      </c>
    </row>
    <row r="200">
      <c r="A200" s="16" t="inlineStr">
        <is>
          <t>DICE</t>
        </is>
      </c>
      <c r="B200" s="16" t="inlineStr">
        <is>
          <t>AC05</t>
        </is>
      </c>
      <c r="C200" s="16" t="inlineStr">
        <is>
          <t>主催者紹介・アンバサダー</t>
        </is>
      </c>
      <c r="D200" s="13" t="inlineStr">
        <is>
          <t>？</t>
        </is>
      </c>
      <c r="E200" s="16" t="inlineStr">
        <is>
          <t>なし</t>
        </is>
      </c>
      <c r="F200" s="16" t="inlineStr"/>
      <c r="G200" s="16" t="inlineStr">
        <is>
          <t>主催者紹介報酬・アンバサダー制度は公式資料で確認できず</t>
        </is>
      </c>
    </row>
    <row r="201">
      <c r="A201" s="16" t="inlineStr">
        <is>
          <t>DICE</t>
        </is>
      </c>
      <c r="B201" s="16" t="inlineStr">
        <is>
          <t>AC06</t>
        </is>
      </c>
      <c r="C201" s="16" t="inlineStr">
        <is>
          <t>主催者向け教育・テンプレ</t>
        </is>
      </c>
      <c r="D201" s="13" t="inlineStr">
        <is>
          <t>✅</t>
        </is>
      </c>
      <c r="E201" s="16" t="inlineStr">
        <is>
          <t>公式</t>
        </is>
      </c>
      <c r="F201" s="17" t="inlineStr">
        <is>
          <t>https://dice.fm/blog/identify-fan-demand-with-the-waiting-list</t>
        </is>
      </c>
      <c r="G201" s="16" t="inlineStr">
        <is>
          <t>パートナー向けブログ(Waiting List の活用解説)とケーススタディのダウンロード、成功事例の公開</t>
        </is>
      </c>
    </row>
    <row r="202">
      <c r="A202" s="16" t="inlineStr">
        <is>
          <t>DICE</t>
        </is>
      </c>
      <c r="B202" s="16" t="inlineStr">
        <is>
          <t>AC07</t>
        </is>
      </c>
      <c r="C202" s="16" t="inlineStr">
        <is>
          <t>集客支援の商品</t>
        </is>
      </c>
      <c r="D202" s="13" t="inlineStr">
        <is>
          <t>△</t>
        </is>
      </c>
      <c r="E202" s="16" t="inlineStr">
        <is>
          <t>公式</t>
        </is>
      </c>
      <c r="F202" s="17" t="inlineStr">
        <is>
          <t>https://dice.fm/partners/ticketing</t>
        </is>
      </c>
      <c r="G202" s="16" t="inlineStr">
        <is>
          <t>DICE の Discover・コミュニケーションでの露出と、ファンへの直接マーケ支援を提供。料金・ブースト商品としての有無は未確認</t>
        </is>
      </c>
    </row>
    <row r="203">
      <c r="A203" s="16" t="inlineStr">
        <is>
          <t>DICE</t>
        </is>
      </c>
      <c r="B203" s="16" t="inlineStr">
        <is>
          <t>AC08</t>
        </is>
      </c>
      <c r="C203" s="16" t="inlineStr">
        <is>
          <t>運営主催・公式イベント</t>
        </is>
      </c>
      <c r="D203" s="13" t="inlineStr">
        <is>
          <t>？</t>
        </is>
      </c>
      <c r="E203" s="16" t="inlineStr">
        <is>
          <t>なし</t>
        </is>
      </c>
      <c r="F203" s="16" t="inlineStr"/>
      <c r="G203" s="16" t="inlineStr">
        <is>
          <t>運営自身のイベント主催・共催は公式資料で確認できず(Fever 傘下での自社制作は別事業)</t>
        </is>
      </c>
    </row>
    <row r="204">
      <c r="A204" s="16" t="inlineStr">
        <is>
          <t>DICE</t>
        </is>
      </c>
      <c r="B204" s="16" t="inlineStr">
        <is>
          <t>CR01</t>
        </is>
      </c>
      <c r="C204" s="16" t="inlineStr">
        <is>
          <t>ダイジェスト・おすすめ通知</t>
        </is>
      </c>
      <c r="D204" s="13" t="inlineStr">
        <is>
          <t>✅</t>
        </is>
      </c>
      <c r="E204" s="16" t="inlineStr">
        <is>
          <t>公式</t>
        </is>
      </c>
      <c r="F204" s="17" t="inlineStr">
        <is>
          <t>https://dicefm.zendesk.com/hc/en-gb/articles/22365220986897-How-to-find-events-you-ll-love-on-DICE</t>
        </is>
      </c>
      <c r="G204" s="16" t="inlineStr">
        <is>
          <t>オプトインで個別化推薦・新着発表・今週のハイライトをメール、プッシュで配信。グロース根拠あり(New Shows Thursday で初週販売+320%[2019年・自社主張])</t>
        </is>
      </c>
    </row>
    <row r="205">
      <c r="A205" s="16" t="inlineStr">
        <is>
          <t>DICE</t>
        </is>
      </c>
      <c r="B205" s="16" t="inlineStr">
        <is>
          <t>CR02</t>
        </is>
      </c>
      <c r="C205" s="16" t="inlineStr">
        <is>
          <t>自動メンバー化</t>
        </is>
      </c>
      <c r="D205" s="13" t="inlineStr">
        <is>
          <t>？</t>
        </is>
      </c>
      <c r="E205" s="16" t="inlineStr">
        <is>
          <t>なし</t>
        </is>
      </c>
      <c r="F205" s="16" t="inlineStr"/>
      <c r="G205" s="16" t="inlineStr">
        <is>
          <t>購入者が自動で会場・アーティストのフォロワーになる仕様は公式資料で確認できず</t>
        </is>
      </c>
    </row>
    <row r="206">
      <c r="A206" s="16" t="inlineStr">
        <is>
          <t>DICE</t>
        </is>
      </c>
      <c r="B206" s="16" t="inlineStr">
        <is>
          <t>CR03</t>
        </is>
      </c>
      <c r="C206" s="16" t="inlineStr">
        <is>
          <t>前回参加者への優先案内</t>
        </is>
      </c>
      <c r="D206" s="13" t="inlineStr">
        <is>
          <t>✅</t>
        </is>
      </c>
      <c r="E206" s="16" t="inlineStr">
        <is>
          <t>公式</t>
        </is>
      </c>
      <c r="F206" s="17" t="inlineStr">
        <is>
          <t>https://dice.fm/blog/dices-big-fat-2021-product-round-up</t>
        </is>
      </c>
      <c r="G206" s="16" t="inlineStr">
        <is>
          <t>Promotions で最も忠実なファン向けの限定プリセールやフラッシュセールを主催者が作成できる(2021年発表)</t>
        </is>
      </c>
    </row>
    <row r="207">
      <c r="A207" s="16" t="inlineStr">
        <is>
          <t>DICE</t>
        </is>
      </c>
      <c r="B207" s="16" t="inlineStr">
        <is>
          <t>CR04</t>
        </is>
      </c>
      <c r="C207" s="16" t="inlineStr">
        <is>
          <t>主催者CRM・購読者リスト</t>
        </is>
      </c>
      <c r="D207" s="13" t="inlineStr">
        <is>
          <t>△</t>
        </is>
      </c>
      <c r="E207" s="16" t="inlineStr">
        <is>
          <t>公式</t>
        </is>
      </c>
      <c r="F207" s="17" t="inlineStr">
        <is>
          <t>https://dice.fm/blog/dices-big-fat-2021-product-round-up</t>
        </is>
      </c>
      <c r="G207" s="16" t="inlineStr">
        <is>
          <t>Mailchimp 連携でファンを購買・属性タグ付きで取り込みセグメント配信できる。DICE 自体のCRM機能は確認できず</t>
        </is>
      </c>
    </row>
    <row r="208">
      <c r="A208" s="16" t="inlineStr">
        <is>
          <t>DICE</t>
        </is>
      </c>
      <c r="B208" s="16" t="inlineStr">
        <is>
          <t>CR05</t>
        </is>
      </c>
      <c r="C208" s="16" t="inlineStr">
        <is>
          <t>参加履歴・バッジ・実績</t>
        </is>
      </c>
      <c r="D208" s="13" t="inlineStr">
        <is>
          <t>？</t>
        </is>
      </c>
      <c r="E208" s="16" t="inlineStr">
        <is>
          <t>なし</t>
        </is>
      </c>
      <c r="F208" s="16" t="inlineStr"/>
      <c r="G208" s="16" t="inlineStr">
        <is>
          <t>参加回数・バッジ・実績の表示は公式資料で確認できず</t>
        </is>
      </c>
    </row>
    <row r="209">
      <c r="A209" s="16" t="inlineStr">
        <is>
          <t>DICE</t>
        </is>
      </c>
      <c r="B209" s="16" t="inlineStr">
        <is>
          <t>CR06</t>
        </is>
      </c>
      <c r="C209" s="16" t="inlineStr">
        <is>
          <t>レビュー・評価</t>
        </is>
      </c>
      <c r="D209" s="13" t="inlineStr">
        <is>
          <t>？</t>
        </is>
      </c>
      <c r="E209" s="16" t="inlineStr">
        <is>
          <t>なし</t>
        </is>
      </c>
      <c r="F209" s="16" t="inlineStr"/>
      <c r="G209" s="16" t="inlineStr">
        <is>
          <t>主催者・会場への評価・レビュー機能は公式資料で確認できず</t>
        </is>
      </c>
    </row>
    <row r="210">
      <c r="A210" s="16" t="inlineStr">
        <is>
          <t>DICE</t>
        </is>
      </c>
      <c r="B210" s="16" t="inlineStr">
        <is>
          <t>CR07</t>
        </is>
      </c>
      <c r="C210" s="16" t="inlineStr">
        <is>
          <t>グループチャット・掲示板</t>
        </is>
      </c>
      <c r="D210" s="13" t="inlineStr">
        <is>
          <t>△</t>
        </is>
      </c>
      <c r="E210" s="16" t="inlineStr">
        <is>
          <t>公式</t>
        </is>
      </c>
      <c r="F210" s="17" t="inlineStr">
        <is>
          <t>https://dicefm.zendesk.com/hc/en-gb/articles/20137793751441-Create-groups-to-make-plans-with-friends</t>
        </is>
      </c>
      <c r="G210" s="16" t="inlineStr">
        <is>
          <t>Groups(イベントの共有・投票・購入通知)がある。チャットや掲示板は確認できず</t>
        </is>
      </c>
    </row>
    <row r="211">
      <c r="A211" s="16" t="inlineStr">
        <is>
          <t>DICE</t>
        </is>
      </c>
      <c r="B211" s="16" t="inlineStr">
        <is>
          <t>CR08</t>
        </is>
      </c>
      <c r="C211" s="16" t="inlineStr">
        <is>
          <t>年間まとめ・振り返り共有</t>
        </is>
      </c>
      <c r="D211" s="13" t="inlineStr">
        <is>
          <t>？</t>
        </is>
      </c>
      <c r="E211" s="16" t="inlineStr">
        <is>
          <t>なし</t>
        </is>
      </c>
      <c r="F211" s="16" t="inlineStr"/>
      <c r="G211" s="16" t="inlineStr">
        <is>
          <t>年間まとめ・振り返り共有は公式資料で確認できず</t>
        </is>
      </c>
    </row>
    <row r="212">
      <c r="A212" s="16" t="inlineStr">
        <is>
          <t>DICE</t>
        </is>
      </c>
      <c r="B212" s="16" t="inlineStr">
        <is>
          <t>TS01</t>
        </is>
      </c>
      <c r="C212" s="16" t="inlineStr">
        <is>
          <t>本人確認・認証</t>
        </is>
      </c>
      <c r="D212" s="13" t="inlineStr">
        <is>
          <t>✅</t>
        </is>
      </c>
      <c r="E212" s="16" t="inlineStr">
        <is>
          <t>公式</t>
        </is>
      </c>
      <c r="F212" s="17" t="inlineStr">
        <is>
          <t>https://dicefm.zendesk.com/hc/en-gb/articles/4409604062481-Create-an-account</t>
        </is>
      </c>
      <c r="G212" s="16" t="inlineStr">
        <is>
          <t>電話番号のSMS認証、氏名(ID記載どおり)・生年月日の登録、QRを電話番号に紐づけ</t>
        </is>
      </c>
    </row>
    <row r="213">
      <c r="A213" s="16" t="inlineStr">
        <is>
          <t>DICE</t>
        </is>
      </c>
      <c r="B213" s="16" t="inlineStr">
        <is>
          <t>TS02</t>
        </is>
      </c>
      <c r="C213" s="16" t="inlineStr">
        <is>
          <t>主催者の審査・認定</t>
        </is>
      </c>
      <c r="D213" s="13" t="inlineStr">
        <is>
          <t>？</t>
        </is>
      </c>
      <c r="E213" s="16" t="inlineStr">
        <is>
          <t>なし</t>
        </is>
      </c>
      <c r="F213" s="16" t="inlineStr"/>
      <c r="G213" s="16" t="inlineStr">
        <is>
          <t>パートナーの審査・認定バッジは公式資料で確認できず(プロモーターアカウントは登録制)</t>
        </is>
      </c>
    </row>
    <row r="214">
      <c r="A214" s="16" t="inlineStr">
        <is>
          <t>DICE</t>
        </is>
      </c>
      <c r="B214" s="16" t="inlineStr">
        <is>
          <t>TS03</t>
        </is>
      </c>
      <c r="C214" s="16" t="inlineStr">
        <is>
          <t>通報・ブロック・モデレーション</t>
        </is>
      </c>
      <c r="D214" s="13" t="inlineStr">
        <is>
          <t>？</t>
        </is>
      </c>
      <c r="E214" s="16" t="inlineStr">
        <is>
          <t>なし</t>
        </is>
      </c>
      <c r="F214" s="16" t="inlineStr"/>
      <c r="G214" s="16" t="inlineStr">
        <is>
          <t>通報・ブロックの仕組みは公式ヘルプで確認できず</t>
        </is>
      </c>
    </row>
    <row r="215">
      <c r="A215" s="16" t="inlineStr">
        <is>
          <t>DICE</t>
        </is>
      </c>
      <c r="B215" s="16" t="inlineStr">
        <is>
          <t>TS04</t>
        </is>
      </c>
      <c r="C215" s="16" t="inlineStr">
        <is>
          <t>ドタキャン対策</t>
        </is>
      </c>
      <c r="D215" s="13" t="inlineStr">
        <is>
          <t>✅</t>
        </is>
      </c>
      <c r="E215" s="16" t="inlineStr">
        <is>
          <t>公式</t>
        </is>
      </c>
      <c r="F215" s="17" t="inlineStr">
        <is>
          <t>https://dicefm.zendesk.com/hc/en-gb/articles/4409603669777-When-are-you-entitled-to-a-refund</t>
        </is>
      </c>
      <c r="G215" s="16" t="inlineStr">
        <is>
          <t>原則返金不可+Wait List、主催者設定のクーリングオフ(購入後24時間等)、前払い、Refund Protection(第三者保険)</t>
        </is>
      </c>
    </row>
    <row r="216">
      <c r="A216" s="16" t="inlineStr">
        <is>
          <t>DICE</t>
        </is>
      </c>
      <c r="B216" s="16" t="inlineStr">
        <is>
          <t>TS05</t>
        </is>
      </c>
      <c r="C216" s="16" t="inlineStr">
        <is>
          <t>参加者情報の保護</t>
        </is>
      </c>
      <c r="D216" s="13" t="inlineStr">
        <is>
          <t>△</t>
        </is>
      </c>
      <c r="E216" s="16" t="inlineStr">
        <is>
          <t>公式</t>
        </is>
      </c>
      <c r="F216" s="17" t="inlineStr">
        <is>
          <t>https://dicefm.zendesk.com/hc/en-gb/articles/20137793751441-Create-groups-to-make-plans-with-friends</t>
        </is>
      </c>
      <c r="G216" s="16" t="inlineStr">
        <is>
          <t>友人フォローはリクエスト制、グループ内で共有したイベントのみ見える。参加者一覧の限定公開設定は確認できず</t>
        </is>
      </c>
    </row>
    <row r="217">
      <c r="A217" s="16" t="inlineStr">
        <is>
          <t>DICE</t>
        </is>
      </c>
      <c r="B217" s="16" t="inlineStr">
        <is>
          <t>TS06</t>
        </is>
      </c>
      <c r="C217" s="16" t="inlineStr">
        <is>
          <t>直接取引の抑止</t>
        </is>
      </c>
      <c r="D217" s="13" t="inlineStr">
        <is>
          <t>△</t>
        </is>
      </c>
      <c r="E217" s="16" t="inlineStr">
        <is>
          <t>公式</t>
        </is>
      </c>
      <c r="F217" s="17" t="inlineStr">
        <is>
          <t>https://dicefm.zendesk.com/hc/en-gb/articles/22367835146513-Why-we-ask-you-to-download-our-app</t>
        </is>
      </c>
      <c r="G217" s="16" t="inlineStr">
        <is>
          <t>チケットはアプリ内のみ・電話番号紐づけQRで転売を抑止、Wait List は定価で配分。外部取引全般の抑止は未確認</t>
        </is>
      </c>
    </row>
    <row r="218">
      <c r="A218" s="16" t="inlineStr">
        <is>
          <t>DICE</t>
        </is>
      </c>
      <c r="B218" s="16" t="inlineStr">
        <is>
          <t>FD01</t>
        </is>
      </c>
      <c r="C218" s="16" t="inlineStr">
        <is>
          <t>メニューの事前注文・選択</t>
        </is>
      </c>
      <c r="D218" s="13" t="inlineStr">
        <is>
          <t>△</t>
        </is>
      </c>
      <c r="E218" s="16" t="inlineStr">
        <is>
          <t>公式</t>
        </is>
      </c>
      <c r="F218" s="17" t="inlineStr">
        <is>
          <t>https://dicefm.zendesk.com/hc/en-gb/articles/43363506255377-Extras</t>
        </is>
      </c>
      <c r="G218" s="16" t="inlineStr">
        <is>
          <t>Extras(チケット購入後にアプリで追加): meet&amp;greet・VIP・クローク・food &amp; drink vouchers 等。購入時の選択ではなく購入後の追加形式</t>
        </is>
      </c>
    </row>
    <row r="219">
      <c r="A219" s="16" t="inlineStr">
        <is>
          <t>DICE</t>
        </is>
      </c>
      <c r="B219" s="16" t="inlineStr">
        <is>
          <t>FD02</t>
        </is>
      </c>
      <c r="C219" s="16" t="inlineStr">
        <is>
          <t>アレルギー・食の好みの登録</t>
        </is>
      </c>
      <c r="D219" s="13" t="inlineStr">
        <is>
          <t>？</t>
        </is>
      </c>
      <c r="E219" s="16" t="inlineStr">
        <is>
          <t>なし</t>
        </is>
      </c>
      <c r="F219" s="16" t="inlineStr"/>
      <c r="G219" s="16" t="inlineStr">
        <is>
          <t>アレルギー・食の好みの登録は公式資料で確認できず</t>
        </is>
      </c>
    </row>
    <row r="220">
      <c r="A220" s="16" t="inlineStr">
        <is>
          <t>DICE</t>
        </is>
      </c>
      <c r="B220" s="16" t="inlineStr">
        <is>
          <t>FD03</t>
        </is>
      </c>
      <c r="C220" s="16" t="inlineStr">
        <is>
          <t>店舗向け管理画面</t>
        </is>
      </c>
      <c r="D220" s="13" t="inlineStr">
        <is>
          <t>△</t>
        </is>
      </c>
      <c r="E220" s="16" t="inlineStr">
        <is>
          <t>公式</t>
        </is>
      </c>
      <c r="F220" s="17" t="inlineStr">
        <is>
          <t>https://dice.fm/partners/work-with-us/promoters</t>
        </is>
      </c>
      <c r="G220" s="16" t="inlineStr">
        <is>
          <t>会場・プロモーター向けの管理(Creator tool/MIO)があるが、飲食店専用ではない</t>
        </is>
      </c>
    </row>
    <row r="221">
      <c r="A221" s="16" t="inlineStr">
        <is>
          <t>DICE</t>
        </is>
      </c>
      <c r="B221" s="16" t="inlineStr">
        <is>
          <t>FD04</t>
        </is>
      </c>
      <c r="C221" s="16" t="inlineStr">
        <is>
          <t>人数確定の店舗通知・集計</t>
        </is>
      </c>
      <c r="D221" s="13" t="inlineStr">
        <is>
          <t>？</t>
        </is>
      </c>
      <c r="E221" s="16" t="inlineStr">
        <is>
          <t>なし</t>
        </is>
      </c>
      <c r="F221" s="16" t="inlineStr"/>
      <c r="G221" s="16" t="inlineStr">
        <is>
          <t>人数・注文の店舗通知・仕込み数集計は公式資料で確認できず</t>
        </is>
      </c>
    </row>
    <row r="222">
      <c r="A222" s="16" t="inlineStr">
        <is>
          <t>DICE</t>
        </is>
      </c>
      <c r="B222" s="16" t="inlineStr">
        <is>
          <t>FD05</t>
        </is>
      </c>
      <c r="C222" s="16" t="inlineStr">
        <is>
          <t>席の確保・貸切の連携</t>
        </is>
      </c>
      <c r="D222" s="13" t="inlineStr">
        <is>
          <t>？</t>
        </is>
      </c>
      <c r="E222" s="16" t="inlineStr">
        <is>
          <t>なし</t>
        </is>
      </c>
      <c r="F222" s="16" t="inlineStr"/>
      <c r="G222" s="16" t="inlineStr">
        <is>
          <t>席・貸切の確保と連動する機能は公式資料で確認できず</t>
        </is>
      </c>
    </row>
    <row r="223">
      <c r="A223" s="16" t="inlineStr">
        <is>
          <t>DICE</t>
        </is>
      </c>
      <c r="B223" s="16" t="inlineStr">
        <is>
          <t>FD06</t>
        </is>
      </c>
      <c r="C223" s="16" t="inlineStr">
        <is>
          <t>コース・固定メニュー</t>
        </is>
      </c>
      <c r="D223" s="13" t="inlineStr">
        <is>
          <t>？</t>
        </is>
      </c>
      <c r="E223" s="16" t="inlineStr">
        <is>
          <t>なし</t>
        </is>
      </c>
      <c r="F223" s="16" t="inlineStr"/>
      <c r="G223" s="16" t="inlineStr">
        <is>
          <t>コース・固定メニューの選択は公式資料で確認できず</t>
        </is>
      </c>
    </row>
    <row r="224">
      <c r="A224" s="16" t="inlineStr">
        <is>
          <t>DICE</t>
        </is>
      </c>
      <c r="B224" s="16" t="inlineStr">
        <is>
          <t>FD07</t>
        </is>
      </c>
      <c r="C224" s="16" t="inlineStr">
        <is>
          <t>割り勘・個別会計</t>
        </is>
      </c>
      <c r="D224" s="13" t="inlineStr">
        <is>
          <t>？</t>
        </is>
      </c>
      <c r="E224" s="16" t="inlineStr">
        <is>
          <t>なし</t>
        </is>
      </c>
      <c r="F224" s="16" t="inlineStr"/>
      <c r="G224" s="16" t="inlineStr">
        <is>
          <t>割り勘・個別会計は公式資料で確認できず(Groups は共有・投票まで)</t>
        </is>
      </c>
    </row>
    <row r="225">
      <c r="A225" s="16" t="inlineStr">
        <is>
          <t>DICE</t>
        </is>
      </c>
      <c r="B225" s="16" t="inlineStr">
        <is>
          <t>FD08</t>
        </is>
      </c>
      <c r="C225" s="16" t="inlineStr">
        <is>
          <t>店探し・店選び支援</t>
        </is>
      </c>
      <c r="D225" s="13" t="inlineStr">
        <is>
          <t>？</t>
        </is>
      </c>
      <c r="E225" s="16" t="inlineStr">
        <is>
          <t>なし</t>
        </is>
      </c>
      <c r="F225" s="16" t="inlineStr"/>
      <c r="G225" s="16" t="inlineStr">
        <is>
          <t>店探し・店選び支援は公式資料で確認できず</t>
        </is>
      </c>
    </row>
    <row r="226">
      <c r="A226" s="16" t="inlineStr">
        <is>
          <t>DICE</t>
        </is>
      </c>
      <c r="B226" s="16" t="inlineStr">
        <is>
          <t>FD09</t>
        </is>
      </c>
      <c r="C226" s="16" t="inlineStr">
        <is>
          <t>売り切れ・限定数の管理</t>
        </is>
      </c>
      <c r="D226" s="13" t="inlineStr">
        <is>
          <t>✅</t>
        </is>
      </c>
      <c r="E226" s="16" t="inlineStr">
        <is>
          <t>公式</t>
        </is>
      </c>
      <c r="F226" s="17" t="inlineStr">
        <is>
          <t>https://dicefm.zendesk.com/hc/en-gb/articles/19919859544337-How-ticket-tiers-work</t>
        </is>
      </c>
      <c r="G226" s="16" t="inlineStr">
        <is>
          <t>ティア別の枚数設定(Tier One 50枚→完売後 Tier Two 等)。capacity 表示・同時販売の上限もある</t>
        </is>
      </c>
    </row>
    <row r="227">
      <c r="A227" s="16" t="inlineStr">
        <is>
          <t>DICE</t>
        </is>
      </c>
      <c r="B227" s="16" t="inlineStr">
        <is>
          <t>FD10</t>
        </is>
      </c>
      <c r="C227" s="16" t="inlineStr">
        <is>
          <t>提供形態の選択</t>
        </is>
      </c>
      <c r="D227" s="13" t="inlineStr">
        <is>
          <t>？</t>
        </is>
      </c>
      <c r="E227" s="16" t="inlineStr">
        <is>
          <t>なし</t>
        </is>
      </c>
      <c r="F227" s="16" t="inlineStr"/>
      <c r="G227" s="16" t="inlineStr">
        <is>
          <t>提供形態の選択は公式資料で確認できず</t>
        </is>
      </c>
    </row>
    <row r="228">
      <c r="A228" s="16" t="inlineStr">
        <is>
          <t>DICE</t>
        </is>
      </c>
      <c r="B228" s="16" t="inlineStr">
        <is>
          <t>MN01</t>
        </is>
      </c>
      <c r="C228" s="16" t="inlineStr">
        <is>
          <t>手数料の明示</t>
        </is>
      </c>
      <c r="D228" s="13" t="inlineStr">
        <is>
          <t>✅</t>
        </is>
      </c>
      <c r="E228" s="16" t="inlineStr">
        <is>
          <t>公式</t>
        </is>
      </c>
      <c r="F228" s="17" t="inlineStr">
        <is>
          <t>https://dicefm.zendesk.com/hc/en-gb/articles/19919684020113-How-DICE-fees-work</t>
        </is>
      </c>
      <c r="G228" s="16" t="inlineStr">
        <is>
          <t>総額表示(手数料込み・購入時の追加なし)。料率・固定額は非公開で DICE と主催者で分配と説明。グロース根拠あり(弱: RA の単一価格表示で転換+3〜5%[検索要約])</t>
        </is>
      </c>
    </row>
    <row r="229">
      <c r="A229" s="16" t="inlineStr">
        <is>
          <t>DICE</t>
        </is>
      </c>
      <c r="B229" s="16" t="inlineStr">
        <is>
          <t>MN02</t>
        </is>
      </c>
      <c r="C229" s="16" t="inlineStr">
        <is>
          <t>主催者向け有料プラン</t>
        </is>
      </c>
      <c r="D229" s="13" t="inlineStr">
        <is>
          <t>？</t>
        </is>
      </c>
      <c r="E229" s="16" t="inlineStr">
        <is>
          <t>なし</t>
        </is>
      </c>
      <c r="F229" s="16" t="inlineStr"/>
      <c r="G229" s="16" t="inlineStr">
        <is>
          <t>主催者向けの有料プラン・サブスクは公式資料で確認できず(手数料ベースとみられるが明記なし)</t>
        </is>
      </c>
    </row>
    <row r="230">
      <c r="A230" s="16" t="inlineStr">
        <is>
          <t>DICE</t>
        </is>
      </c>
      <c r="B230" s="16" t="inlineStr">
        <is>
          <t>MN03</t>
        </is>
      </c>
      <c r="C230" s="16" t="inlineStr">
        <is>
          <t>任意チップ・寄付</t>
        </is>
      </c>
      <c r="D230" s="13" t="inlineStr">
        <is>
          <t>△</t>
        </is>
      </c>
      <c r="E230" s="16" t="inlineStr">
        <is>
          <t>公式</t>
        </is>
      </c>
      <c r="F230" s="17" t="inlineStr">
        <is>
          <t>https://dicefm.zendesk.com/hc/en-gb/articles/38838031250833-Venue-Donations</t>
        </is>
      </c>
      <c r="G230" s="16" t="inlineStr">
        <is>
          <t>チャリティ登録の会場のみ、任意の寄付をチケットに追加できる(返金不可)</t>
        </is>
      </c>
    </row>
    <row r="231">
      <c r="A231" s="16" t="inlineStr">
        <is>
          <t>DICE</t>
        </is>
      </c>
      <c r="B231" s="16" t="inlineStr">
        <is>
          <t>MN04</t>
        </is>
      </c>
      <c r="C231" s="16" t="inlineStr">
        <is>
          <t>クーポン・割引コード</t>
        </is>
      </c>
      <c r="D231" s="13" t="inlineStr">
        <is>
          <t>✅</t>
        </is>
      </c>
      <c r="E231" s="16" t="inlineStr">
        <is>
          <t>公式</t>
        </is>
      </c>
      <c r="F231" s="17" t="inlineStr">
        <is>
          <t>https://dicefm.zendesk.com/hc/en-gb/articles/4409672262033-Use-a-promo-code</t>
        </is>
      </c>
      <c r="G231" s="16" t="inlineStr">
        <is>
          <t>プロモコード(Got a code?)、ティア制、Promotions によるフラッシュセール・プリセール</t>
        </is>
      </c>
    </row>
    <row r="232">
      <c r="A232" s="16" t="inlineStr">
        <is>
          <t>DICE</t>
        </is>
      </c>
      <c r="B232" s="16" t="inlineStr">
        <is>
          <t>MN05</t>
        </is>
      </c>
      <c r="C232" s="16" t="inlineStr">
        <is>
          <t>ポイント・会員特典</t>
        </is>
      </c>
      <c r="D232" s="13" t="inlineStr">
        <is>
          <t>△</t>
        </is>
      </c>
      <c r="E232" s="16" t="inlineStr">
        <is>
          <t>公式</t>
        </is>
      </c>
      <c r="F232" s="17" t="inlineStr">
        <is>
          <t>https://dicefm.zendesk.com/hc/en-gb/categories/4409672160529-Payments-pricing-refunds</t>
        </is>
      </c>
      <c r="G232" s="16" t="inlineStr">
        <is>
          <t>DICE Credit とギフトカード/バウチャーの記事あり(カテゴリ一覧で確認)。ポイント・ロイヤルティ制度は確認できず</t>
        </is>
      </c>
    </row>
    <row r="233">
      <c r="A233" s="16" t="inlineStr">
        <is>
          <t>Ticket Tailor</t>
        </is>
      </c>
      <c r="B233" s="16" t="inlineStr">
        <is>
          <t>DS01</t>
        </is>
      </c>
      <c r="C233" s="16" t="inlineStr">
        <is>
          <t>キーワード・カテゴリ検索</t>
        </is>
      </c>
      <c r="D233" s="13" t="inlineStr">
        <is>
          <t>△</t>
        </is>
      </c>
      <c r="E233" s="16" t="inlineStr">
        <is>
          <t>実機</t>
        </is>
      </c>
      <c r="F233" s="17" t="inlineStr">
        <is>
          <t>https://www.tickettailor.com/discover</t>
        </is>
      </c>
      <c r="G233" s="16" t="inlineStr">
        <is>
          <t>/discover にカテゴリ別の一覧(Theatre・Charity・Workshops &amp; classes 等)。キーワード検索は未確認。公式FAQは組込みの公開イベントマーケットプレイスはないと明記</t>
        </is>
      </c>
    </row>
    <row r="234">
      <c r="A234" s="16" t="inlineStr">
        <is>
          <t>Ticket Tailor</t>
        </is>
      </c>
      <c r="B234" s="16" t="inlineStr">
        <is>
          <t>DS02</t>
        </is>
      </c>
      <c r="C234" s="16" t="inlineStr">
        <is>
          <t>地域・地図検索</t>
        </is>
      </c>
      <c r="D234" s="13" t="inlineStr">
        <is>
          <t>？</t>
        </is>
      </c>
      <c r="E234" s="16" t="inlineStr">
        <is>
          <t>なし</t>
        </is>
      </c>
      <c r="F234" s="16" t="inlineStr"/>
      <c r="G234" s="16" t="inlineStr">
        <is>
          <t>/discover の位置・地図での絞り込みは確認できず(ページ題は Discover Events Near You)</t>
        </is>
      </c>
    </row>
    <row r="235">
      <c r="A235" s="16" t="inlineStr">
        <is>
          <t>Ticket Tailor</t>
        </is>
      </c>
      <c r="B235" s="16" t="inlineStr">
        <is>
          <t>DS03</t>
        </is>
      </c>
      <c r="C235" s="16" t="inlineStr">
        <is>
          <t>日付・価格等の絞り込み</t>
        </is>
      </c>
      <c r="D235" s="13" t="inlineStr">
        <is>
          <t>？</t>
        </is>
      </c>
      <c r="E235" s="16" t="inlineStr">
        <is>
          <t>なし</t>
        </is>
      </c>
      <c r="F235" s="16" t="inlineStr"/>
      <c r="G235" s="16" t="inlineStr">
        <is>
          <t>日付・価格での絞り込みは /discover で確認できず</t>
        </is>
      </c>
    </row>
    <row r="236">
      <c r="A236" s="16" t="inlineStr">
        <is>
          <t>Ticket Tailor</t>
        </is>
      </c>
      <c r="B236" s="16" t="inlineStr">
        <is>
          <t>DS04</t>
        </is>
      </c>
      <c r="C236" s="16" t="inlineStr">
        <is>
          <t>パーソナライズ推薦</t>
        </is>
      </c>
      <c r="D236" s="13" t="inlineStr">
        <is>
          <t>❌</t>
        </is>
      </c>
      <c r="E236" s="16" t="inlineStr">
        <is>
          <t>公式</t>
        </is>
      </c>
      <c r="F236" s="17" t="inlineStr">
        <is>
          <t>https://www.tickettailor.com/eventbrite-alternative</t>
        </is>
      </c>
      <c r="G236" s="16" t="inlineStr">
        <is>
          <t>公式FAQ: Eventbrite のような組込みの公開イベント発見マーケットプレイスはない(ホワイトラベル型)。推薦機能の記載なし</t>
        </is>
      </c>
    </row>
    <row r="237">
      <c r="A237" s="16" t="inlineStr">
        <is>
          <t>Ticket Tailor</t>
        </is>
      </c>
      <c r="B237" s="16" t="inlineStr">
        <is>
          <t>DS05</t>
        </is>
      </c>
      <c r="C237" s="16" t="inlineStr">
        <is>
          <t>フォロー</t>
        </is>
      </c>
      <c r="D237" s="13" t="inlineStr">
        <is>
          <t>？</t>
        </is>
      </c>
      <c r="E237" s="16" t="inlineStr">
        <is>
          <t>なし</t>
        </is>
      </c>
      <c r="F237" s="16" t="inlineStr"/>
      <c r="G237" s="16" t="inlineStr">
        <is>
          <t>購入者側のフォロー機能は公式資料で確認できず(購入者向けの消費者アプリ・フィードの記載がない)</t>
        </is>
      </c>
    </row>
    <row r="238">
      <c r="A238" s="16" t="inlineStr">
        <is>
          <t>Ticket Tailor</t>
        </is>
      </c>
      <c r="B238" s="16" t="inlineStr">
        <is>
          <t>DS06</t>
        </is>
      </c>
      <c r="C238" s="16" t="inlineStr">
        <is>
          <t>ブックマーク・ウィッシュリスト</t>
        </is>
      </c>
      <c r="D238" s="13" t="inlineStr">
        <is>
          <t>？</t>
        </is>
      </c>
      <c r="E238" s="16" t="inlineStr">
        <is>
          <t>なし</t>
        </is>
      </c>
      <c r="F238" s="16" t="inlineStr"/>
      <c r="G238" s="16" t="inlineStr">
        <is>
          <t>ブックマーク・保存機能は公式資料で確認できず</t>
        </is>
      </c>
    </row>
    <row r="239">
      <c r="A239" s="16" t="inlineStr">
        <is>
          <t>Ticket Tailor</t>
        </is>
      </c>
      <c r="B239" s="16" t="inlineStr">
        <is>
          <t>DS07</t>
        </is>
      </c>
      <c r="C239" s="16" t="inlineStr">
        <is>
          <t>公開ディレクトリ・都市×カテゴリページ</t>
        </is>
      </c>
      <c r="D239" s="13" t="inlineStr">
        <is>
          <t>△</t>
        </is>
      </c>
      <c r="E239" s="16" t="inlineStr">
        <is>
          <t>実機</t>
        </is>
      </c>
      <c r="F239" s="17" t="inlineStr">
        <is>
          <t>https://www.tickettailor.com/discover</t>
        </is>
      </c>
      <c r="G239" s="16" t="inlineStr">
        <is>
          <t>/discover/categories/... のカテゴリ別公開ページがある(自社導入イベントのショーケース用途)。都市別は確認できず</t>
        </is>
      </c>
    </row>
    <row r="240">
      <c r="A240" s="16" t="inlineStr">
        <is>
          <t>Ticket Tailor</t>
        </is>
      </c>
      <c r="B240" s="16" t="inlineStr">
        <is>
          <t>DS08</t>
        </is>
      </c>
      <c r="C240" s="16" t="inlineStr">
        <is>
          <t>キュレーション・特集</t>
        </is>
      </c>
      <c r="D240" s="13" t="inlineStr">
        <is>
          <t>？</t>
        </is>
      </c>
      <c r="E240" s="16" t="inlineStr">
        <is>
          <t>なし</t>
        </is>
      </c>
      <c r="F240" s="16" t="inlineStr"/>
      <c r="G240" s="16" t="inlineStr">
        <is>
          <t>運営の手動選定・特集は確認できず(/discover は導入事例の一覧で選定基準は不明)</t>
        </is>
      </c>
    </row>
    <row r="241">
      <c r="A241" s="16" t="inlineStr">
        <is>
          <t>Ticket Tailor</t>
        </is>
      </c>
      <c r="B241" s="16" t="inlineStr">
        <is>
          <t>JN01</t>
        </is>
      </c>
      <c r="C241" s="16" t="inlineStr">
        <is>
          <t>アカウント不要の申込</t>
        </is>
      </c>
      <c r="D241" s="13" t="inlineStr">
        <is>
          <t>✅</t>
        </is>
      </c>
      <c r="E241" s="16" t="inlineStr">
        <is>
          <t>公式</t>
        </is>
      </c>
      <c r="F241" s="17" t="inlineStr">
        <is>
          <t>https://help.tickettailor.com/en/collections/13514039-support-for-ticket-buyers-and-attendees</t>
        </is>
      </c>
      <c r="G241" s="16" t="inlineStr">
        <is>
          <t>購入者はアカウント不要。メールのセキュアリンクでセルフサービス画面に入り、チケットを管理(Find your tickets)</t>
        </is>
      </c>
    </row>
    <row r="242">
      <c r="A242" s="16" t="inlineStr">
        <is>
          <t>Ticket Tailor</t>
        </is>
      </c>
      <c r="B242" s="16" t="inlineStr">
        <is>
          <t>JN02</t>
        </is>
      </c>
      <c r="C242" s="16" t="inlineStr">
        <is>
          <t>簡易ログイン</t>
        </is>
      </c>
      <c r="D242" s="13" t="inlineStr">
        <is>
          <t>✅</t>
        </is>
      </c>
      <c r="E242" s="16" t="inlineStr">
        <is>
          <t>公式</t>
        </is>
      </c>
      <c r="F242" s="17" t="inlineStr">
        <is>
          <t>https://help.tickettailor.com/en/collections/13514039-support-for-ticket-buyers-and-attendees</t>
        </is>
      </c>
      <c r="G242" s="16" t="inlineStr">
        <is>
          <t>メールのセキュアリンクでログイン(パスワード・SNS 不要)</t>
        </is>
      </c>
    </row>
    <row r="243">
      <c r="A243" s="16" t="inlineStr">
        <is>
          <t>Ticket Tailor</t>
        </is>
      </c>
      <c r="B243" s="16" t="inlineStr">
        <is>
          <t>JN03</t>
        </is>
      </c>
      <c r="C243" s="16" t="inlineStr">
        <is>
          <t>承認制・参加申請</t>
        </is>
      </c>
      <c r="D243" s="13" t="inlineStr">
        <is>
          <t>？</t>
        </is>
      </c>
      <c r="E243" s="16" t="inlineStr">
        <is>
          <t>なし</t>
        </is>
      </c>
      <c r="F243" s="16" t="inlineStr"/>
      <c r="G243" s="16" t="inlineStr">
        <is>
          <t>参加可否を主催者が承認する機能は公式資料で確認できず</t>
        </is>
      </c>
    </row>
    <row r="244">
      <c r="A244" s="16" t="inlineStr">
        <is>
          <t>Ticket Tailor</t>
        </is>
      </c>
      <c r="B244" s="16" t="inlineStr">
        <is>
          <t>JN04</t>
        </is>
      </c>
      <c r="C244" s="16" t="inlineStr">
        <is>
          <t>ウェイトリスト</t>
        </is>
      </c>
      <c r="D244" s="13" t="inlineStr">
        <is>
          <t>✅</t>
        </is>
      </c>
      <c r="E244" s="16" t="inlineStr">
        <is>
          <t>公式</t>
        </is>
      </c>
      <c r="F244" s="17" t="inlineStr">
        <is>
          <t>https://www.tickettailor.com/features</t>
        </is>
      </c>
      <c r="G244" s="16" t="inlineStr">
        <is>
          <t>Waitlist management(売り切れ時に追加需要を取り込む)</t>
        </is>
      </c>
    </row>
    <row r="245">
      <c r="A245" s="16" t="inlineStr">
        <is>
          <t>Ticket Tailor</t>
        </is>
      </c>
      <c r="B245" s="16" t="inlineStr">
        <is>
          <t>JN05</t>
        </is>
      </c>
      <c r="C245" s="16" t="inlineStr">
        <is>
          <t>定員・残席の表示</t>
        </is>
      </c>
      <c r="D245" s="13" t="inlineStr">
        <is>
          <t>？</t>
        </is>
      </c>
      <c r="E245" s="16" t="inlineStr">
        <is>
          <t>なし</t>
        </is>
      </c>
      <c r="F245" s="16" t="inlineStr"/>
      <c r="G245" s="16" t="inlineStr">
        <is>
          <t>定員・残席を購入者へ表示する設定は公式資料で確認できず(ticket groups で容量管理はできる)</t>
        </is>
      </c>
    </row>
    <row r="246">
      <c r="A246" s="16" t="inlineStr">
        <is>
          <t>Ticket Tailor</t>
        </is>
      </c>
      <c r="B246" s="16" t="inlineStr">
        <is>
          <t>JN06</t>
        </is>
      </c>
      <c r="C246" s="16" t="inlineStr">
        <is>
          <t>追加質問・同行者の入力</t>
        </is>
      </c>
      <c r="D246" s="13" t="inlineStr">
        <is>
          <t>✅</t>
        </is>
      </c>
      <c r="E246" s="16" t="inlineStr">
        <is>
          <t>公式</t>
        </is>
      </c>
      <c r="F246" s="17" t="inlineStr">
        <is>
          <t>https://www.tickettailor.com/features</t>
        </is>
      </c>
      <c r="G246" s="16" t="inlineStr">
        <is>
          <t>Customisable checkout form(ドロップダウン・ラジオ・チェックボックス・T&amp;Cs・オプトイン)。家族/グループ券は Ticket bundles</t>
        </is>
      </c>
    </row>
    <row r="247">
      <c r="A247" s="16" t="inlineStr">
        <is>
          <t>Ticket Tailor</t>
        </is>
      </c>
      <c r="B247" s="16" t="inlineStr">
        <is>
          <t>JN07</t>
        </is>
      </c>
      <c r="C247" s="16" t="inlineStr">
        <is>
          <t>参加者のセルフキャンセル</t>
        </is>
      </c>
      <c r="D247" s="13" t="inlineStr">
        <is>
          <t>✅</t>
        </is>
      </c>
      <c r="E247" s="16" t="inlineStr">
        <is>
          <t>公式</t>
        </is>
      </c>
      <c r="F247" s="17" t="inlineStr">
        <is>
          <t>https://www.tickettailor.com/manage-your-orders</t>
        </is>
      </c>
      <c r="G247" s="16" t="inlineStr">
        <is>
          <t>購入者セルフサービスで注文の編集・日程変更・キャンセル+自動返金(主催者が条件を設定)</t>
        </is>
      </c>
    </row>
    <row r="248">
      <c r="A248" s="16" t="inlineStr">
        <is>
          <t>Ticket Tailor</t>
        </is>
      </c>
      <c r="B248" s="16" t="inlineStr">
        <is>
          <t>JN08</t>
        </is>
      </c>
      <c r="C248" s="16" t="inlineStr">
        <is>
          <t>カレンダー追加</t>
        </is>
      </c>
      <c r="D248" s="13" t="inlineStr">
        <is>
          <t>✅</t>
        </is>
      </c>
      <c r="E248" s="16" t="inlineStr">
        <is>
          <t>公式</t>
        </is>
      </c>
      <c r="F248" s="17" t="inlineStr">
        <is>
          <t>https://www.tickettailor.com/features</t>
        </is>
      </c>
      <c r="G248" s="16" t="inlineStr">
        <is>
          <t>確認メールに Add to calendar リンクを含められる</t>
        </is>
      </c>
    </row>
    <row r="249">
      <c r="A249" s="16" t="inlineStr">
        <is>
          <t>Ticket Tailor</t>
        </is>
      </c>
      <c r="B249" s="16" t="inlineStr">
        <is>
          <t>JN09</t>
        </is>
      </c>
      <c r="C249" s="16" t="inlineStr">
        <is>
          <t>開催前リマインド</t>
        </is>
      </c>
      <c r="D249" s="13" t="inlineStr">
        <is>
          <t>✅</t>
        </is>
      </c>
      <c r="E249" s="16" t="inlineStr">
        <is>
          <t>公式</t>
        </is>
      </c>
      <c r="F249" s="17" t="inlineStr">
        <is>
          <t>https://www.tickettailor.com/features</t>
        </is>
      </c>
      <c r="G249" s="16" t="inlineStr">
        <is>
          <t>Text reminders(SMS・WhatsApp)と自動メールで開催前に通知。SMS・WhatsApp の料金条件は未確認</t>
        </is>
      </c>
    </row>
    <row r="250">
      <c r="A250" s="16" t="inlineStr">
        <is>
          <t>Ticket Tailor</t>
        </is>
      </c>
      <c r="B250" s="16" t="inlineStr">
        <is>
          <t>JN10</t>
        </is>
      </c>
      <c r="C250" s="16" t="inlineStr">
        <is>
          <t>QRチケット・当日受付</t>
        </is>
      </c>
      <c r="D250" s="13" t="inlineStr">
        <is>
          <t>✅</t>
        </is>
      </c>
      <c r="E250" s="16" t="inlineStr">
        <is>
          <t>公式</t>
        </is>
      </c>
      <c r="F250" s="17" t="inlineStr">
        <is>
          <t>https://www.tickettailor.com/features</t>
        </is>
      </c>
      <c r="G250" s="16" t="inlineStr">
        <is>
          <t>QRコード付きe-ticket、無料 Check-in アプリ(オフライン可)、カスタム Apple Wallet チケット</t>
        </is>
      </c>
    </row>
    <row r="251">
      <c r="A251" s="16" t="inlineStr">
        <is>
          <t>Ticket Tailor</t>
        </is>
      </c>
      <c r="B251" s="16" t="inlineStr">
        <is>
          <t>JN11</t>
        </is>
      </c>
      <c r="C251" s="16" t="inlineStr">
        <is>
          <t>参加者一覧の閲覧</t>
        </is>
      </c>
      <c r="D251" s="13" t="inlineStr">
        <is>
          <t>？</t>
        </is>
      </c>
      <c r="E251" s="16" t="inlineStr">
        <is>
          <t>なし</t>
        </is>
      </c>
      <c r="F251" s="16" t="inlineStr"/>
      <c r="G251" s="16" t="inlineStr">
        <is>
          <t>参加者が他の参加者を見られる機能は公式資料で確認できず</t>
        </is>
      </c>
    </row>
    <row r="252">
      <c r="A252" s="16" t="inlineStr">
        <is>
          <t>Ticket Tailor</t>
        </is>
      </c>
      <c r="B252" s="16" t="inlineStr">
        <is>
          <t>JN12</t>
        </is>
      </c>
      <c r="C252" s="16" t="inlineStr">
        <is>
          <t>イベント後の体験</t>
        </is>
      </c>
      <c r="D252" s="13" t="inlineStr">
        <is>
          <t>△</t>
        </is>
      </c>
      <c r="E252" s="16" t="inlineStr">
        <is>
          <t>公式</t>
        </is>
      </c>
      <c r="F252" s="17" t="inlineStr">
        <is>
          <t>https://www.tickettailor.com/features</t>
        </is>
      </c>
      <c r="G252" s="16" t="inlineStr">
        <is>
          <t>予約・即時メール配信で事後の連絡は可能。レビュー・写真アルバム等の専用機能は確認できず</t>
        </is>
      </c>
    </row>
    <row r="253">
      <c r="A253" s="16" t="inlineStr">
        <is>
          <t>Ticket Tailor</t>
        </is>
      </c>
      <c r="B253" s="16" t="inlineStr">
        <is>
          <t>SH01</t>
        </is>
      </c>
      <c r="C253" s="16" t="inlineStr">
        <is>
          <t>共有用URL・OGPカード</t>
        </is>
      </c>
      <c r="D253" s="13" t="inlineStr">
        <is>
          <t>✅</t>
        </is>
      </c>
      <c r="E253" s="16" t="inlineStr">
        <is>
          <t>実機</t>
        </is>
      </c>
      <c r="F253" s="17" t="inlineStr">
        <is>
          <t>https://www.tickettailor.com/events/thebaristaleague/1924213</t>
        </is>
      </c>
      <c r="G253" s="16" t="inlineStr">
        <is>
          <t>og:title・og:description・og:image・twitter:card(summary_large_image)と schema.org Event、Share this event ボタンを確認(2026-10 実機)</t>
        </is>
      </c>
    </row>
    <row r="254">
      <c r="A254" s="16" t="inlineStr">
        <is>
          <t>Ticket Tailor</t>
        </is>
      </c>
      <c r="B254" s="16" t="inlineStr">
        <is>
          <t>SH02</t>
        </is>
      </c>
      <c r="C254" s="16" t="inlineStr">
        <is>
          <t>SNS・メッセージ共有ボタン</t>
        </is>
      </c>
      <c r="D254" s="13" t="inlineStr">
        <is>
          <t>✅</t>
        </is>
      </c>
      <c r="E254" s="16" t="inlineStr">
        <is>
          <t>公式</t>
        </is>
      </c>
      <c r="F254" s="17" t="inlineStr">
        <is>
          <t>https://www.tickettailor.com/features</t>
        </is>
      </c>
      <c r="G254" s="16" t="inlineStr">
        <is>
          <t>Social sharing tools と LinkedIn community builder。共有先の網羅は未確認</t>
        </is>
      </c>
    </row>
    <row r="255">
      <c r="A255" s="16" t="inlineStr">
        <is>
          <t>Ticket Tailor</t>
        </is>
      </c>
      <c r="B255" s="16" t="inlineStr">
        <is>
          <t>SH03</t>
        </is>
      </c>
      <c r="C255" s="16" t="inlineStr">
        <is>
          <t>友人・同行者の招待導線</t>
        </is>
      </c>
      <c r="D255" s="13" t="inlineStr">
        <is>
          <t>？</t>
        </is>
      </c>
      <c r="E255" s="16" t="inlineStr">
        <is>
          <t>なし</t>
        </is>
      </c>
      <c r="F255" s="16" t="inlineStr"/>
      <c r="G255" s="16" t="inlineStr">
        <is>
          <t>申込後に友人を招待する導線は公式資料で確認できず</t>
        </is>
      </c>
    </row>
    <row r="256">
      <c r="A256" s="16" t="inlineStr">
        <is>
          <t>Ticket Tailor</t>
        </is>
      </c>
      <c r="B256" s="16" t="inlineStr">
        <is>
          <t>SH04</t>
        </is>
      </c>
      <c r="C256" s="16" t="inlineStr">
        <is>
          <t>紹介リンク・紹介の可視化</t>
        </is>
      </c>
      <c r="D256" s="13" t="inlineStr">
        <is>
          <t>△</t>
        </is>
      </c>
      <c r="E256" s="16" t="inlineStr">
        <is>
          <t>公式</t>
        </is>
      </c>
      <c r="F256" s="17" t="inlineStr">
        <is>
          <t>https://www.tickettailor.com/promote-your-event</t>
        </is>
      </c>
      <c r="G256" s="16" t="inlineStr">
        <is>
          <t>チャネル別の referral tags(トラッキングリンク)で売上元を計測、アフィリエイト・紹介プログラム運用にも使える。参加者個人の紹介追跡は未確認</t>
        </is>
      </c>
    </row>
    <row r="257">
      <c r="A257" s="16" t="inlineStr">
        <is>
          <t>Ticket Tailor</t>
        </is>
      </c>
      <c r="B257" s="16" t="inlineStr">
        <is>
          <t>SH05</t>
        </is>
      </c>
      <c r="C257" s="16" t="inlineStr">
        <is>
          <t>連絡先・SNS連携で友人発見</t>
        </is>
      </c>
      <c r="D257" s="13" t="inlineStr">
        <is>
          <t>？</t>
        </is>
      </c>
      <c r="E257" s="16" t="inlineStr">
        <is>
          <t>なし</t>
        </is>
      </c>
      <c r="F257" s="16" t="inlineStr"/>
      <c r="G257" s="16" t="inlineStr">
        <is>
          <t>連絡先・SNS連携による友人発見は公式資料で確認できず</t>
        </is>
      </c>
    </row>
    <row r="258">
      <c r="A258" s="16" t="inlineStr">
        <is>
          <t>Ticket Tailor</t>
        </is>
      </c>
      <c r="B258" s="16" t="inlineStr">
        <is>
          <t>SH06</t>
        </is>
      </c>
      <c r="C258" s="16" t="inlineStr">
        <is>
          <t>社会的証明の表示</t>
        </is>
      </c>
      <c r="D258" s="13" t="inlineStr">
        <is>
          <t>？</t>
        </is>
      </c>
      <c r="E258" s="16" t="inlineStr">
        <is>
          <t>なし</t>
        </is>
      </c>
      <c r="F258" s="16" t="inlineStr"/>
      <c r="G258" s="16" t="inlineStr">
        <is>
          <t>他者の参加を示す表示(アバター・参加人数)は公式資料で確認できず</t>
        </is>
      </c>
    </row>
    <row r="259">
      <c r="A259" s="16" t="inlineStr">
        <is>
          <t>Ticket Tailor</t>
        </is>
      </c>
      <c r="B259" s="16" t="inlineStr">
        <is>
          <t>SH07</t>
        </is>
      </c>
      <c r="C259" s="16" t="inlineStr">
        <is>
          <t>QR・短縮URL・チラシ生成</t>
        </is>
      </c>
      <c r="D259" s="13" t="inlineStr">
        <is>
          <t>✅</t>
        </is>
      </c>
      <c r="E259" s="16" t="inlineStr">
        <is>
          <t>公式</t>
        </is>
      </c>
      <c r="F259" s="17" t="inlineStr">
        <is>
          <t>https://www.tickettailor.com/features</t>
        </is>
      </c>
      <c r="G259" s="16" t="inlineStr">
        <is>
          <t>Event QR codes(チラシ・ポスター向けにダウンロード)</t>
        </is>
      </c>
    </row>
    <row r="260">
      <c r="A260" s="16" t="inlineStr">
        <is>
          <t>Ticket Tailor</t>
        </is>
      </c>
      <c r="B260" s="16" t="inlineStr">
        <is>
          <t>SH08</t>
        </is>
      </c>
      <c r="C260" s="16" t="inlineStr">
        <is>
          <t>埋め込みウィジェット</t>
        </is>
      </c>
      <c r="D260" s="13" t="inlineStr">
        <is>
          <t>✅</t>
        </is>
      </c>
      <c r="E260" s="16" t="inlineStr">
        <is>
          <t>公式</t>
        </is>
      </c>
      <c r="F260" s="17" t="inlineStr">
        <is>
          <t>https://www.tickettailor.com/your-event-set-up</t>
        </is>
      </c>
      <c r="G260" s="16" t="inlineStr">
        <is>
          <t>チェックアウトを自サイトに埋め込める(Embed checkout)。ウィジェットとしても提供</t>
        </is>
      </c>
    </row>
    <row r="261">
      <c r="A261" s="16" t="inlineStr">
        <is>
          <t>Ticket Tailor</t>
        </is>
      </c>
      <c r="B261" s="16" t="inlineStr">
        <is>
          <t>OP01</t>
        </is>
      </c>
      <c r="C261" s="16" t="inlineStr">
        <is>
          <t>簡単な作成</t>
        </is>
      </c>
      <c r="D261" s="13" t="inlineStr">
        <is>
          <t>✅</t>
        </is>
      </c>
      <c r="E261" s="16" t="inlineStr">
        <is>
          <t>公式</t>
        </is>
      </c>
      <c r="F261" s="17" t="inlineStr">
        <is>
          <t>https://www.tickettailor.com/features</t>
        </is>
      </c>
      <c r="G261" s="16" t="inlineStr">
        <is>
          <t>Box office design tool(テーマ・色・フォント選択)で数分で公開。イベントとチケット種別は無制限</t>
        </is>
      </c>
    </row>
    <row r="262">
      <c r="A262" s="16" t="inlineStr">
        <is>
          <t>Ticket Tailor</t>
        </is>
      </c>
      <c r="B262" s="16" t="inlineStr">
        <is>
          <t>OP02</t>
        </is>
      </c>
      <c r="C262" s="16" t="inlineStr">
        <is>
          <t>コピー・繰り返し作成</t>
        </is>
      </c>
      <c r="D262" s="13" t="inlineStr">
        <is>
          <t>✅</t>
        </is>
      </c>
      <c r="E262" s="16" t="inlineStr">
        <is>
          <t>公式</t>
        </is>
      </c>
      <c r="F262" s="17" t="inlineStr">
        <is>
          <t>https://www.tickettailor.com/features</t>
        </is>
      </c>
      <c r="G262" s="16" t="inlineStr">
        <is>
          <t>Duplicate events(数秒で複製)と Time slot events・Recurring events(繰り返し日程)</t>
        </is>
      </c>
    </row>
    <row r="263">
      <c r="A263" s="16" t="inlineStr">
        <is>
          <t>Ticket Tailor</t>
        </is>
      </c>
      <c r="B263" s="16" t="inlineStr">
        <is>
          <t>OP03</t>
        </is>
      </c>
      <c r="C263" s="16" t="inlineStr">
        <is>
          <t>下書き・限定公開</t>
        </is>
      </c>
      <c r="D263" s="13" t="inlineStr">
        <is>
          <t>✅</t>
        </is>
      </c>
      <c r="E263" s="16" t="inlineStr">
        <is>
          <t>公式</t>
        </is>
      </c>
      <c r="F263" s="17" t="inlineStr">
        <is>
          <t>https://www.tickettailor.com/features</t>
        </is>
      </c>
      <c r="G263" s="16" t="inlineStr">
        <is>
          <t>Public or private listings(パスワード保護で検索に出さない)、販売開始・終了の予約、パスワード付きチケット</t>
        </is>
      </c>
    </row>
    <row r="264">
      <c r="A264" s="16" t="inlineStr">
        <is>
          <t>Ticket Tailor</t>
        </is>
      </c>
      <c r="B264" s="16" t="inlineStr">
        <is>
          <t>OP04</t>
        </is>
      </c>
      <c r="C264" s="16" t="inlineStr">
        <is>
          <t>AI作成支援</t>
        </is>
      </c>
      <c r="D264" s="13" t="inlineStr">
        <is>
          <t>△</t>
        </is>
      </c>
      <c r="E264" s="16" t="inlineStr">
        <is>
          <t>公式</t>
        </is>
      </c>
      <c r="F264" s="17" t="inlineStr">
        <is>
          <t>https://www.tickettailor.com/features</t>
        </is>
      </c>
      <c r="G264" s="16" t="inlineStr">
        <is>
          <t>AI assist(MCPコネクタ)で外部AIツールからイベント作成・チケット更新・売上要約ができる。文面・画像の生成機能そのものではない</t>
        </is>
      </c>
    </row>
    <row r="265">
      <c r="A265" s="16" t="inlineStr">
        <is>
          <t>Ticket Tailor</t>
        </is>
      </c>
      <c r="B265" s="16" t="inlineStr">
        <is>
          <t>OP05</t>
        </is>
      </c>
      <c r="C265" s="16" t="inlineStr">
        <is>
          <t>共同主催・運営メンバー権限</t>
        </is>
      </c>
      <c r="D265" s="13" t="inlineStr">
        <is>
          <t>✅</t>
        </is>
      </c>
      <c r="E265" s="16" t="inlineStr">
        <is>
          <t>公式</t>
        </is>
      </c>
      <c r="F265" s="17" t="inlineStr">
        <is>
          <t>https://www.tickettailor.com/features</t>
        </is>
      </c>
      <c r="G265" s="16" t="inlineStr">
        <is>
          <t>Team permissions(Admin・Event Manager・Order Manager・Overview の4段階)。チームメンバー追加は無料・無制限</t>
        </is>
      </c>
    </row>
    <row r="266">
      <c r="A266" s="16" t="inlineStr">
        <is>
          <t>Ticket Tailor</t>
        </is>
      </c>
      <c r="B266" s="16" t="inlineStr">
        <is>
          <t>OP06</t>
        </is>
      </c>
      <c r="C266" s="16" t="inlineStr">
        <is>
          <t>参加者管理・名簿出力</t>
        </is>
      </c>
      <c r="D266" s="13" t="inlineStr">
        <is>
          <t>✅</t>
        </is>
      </c>
      <c r="E266" s="16" t="inlineStr">
        <is>
          <t>公式</t>
        </is>
      </c>
      <c r="F266" s="17" t="inlineStr">
        <is>
          <t>https://www.tickettailor.com/manage-your-orders</t>
        </is>
      </c>
      <c r="G266" s="16" t="inlineStr">
        <is>
          <t>購入者データの検索・CSV出力・カスタムレポート。顧客データは主催者が所有(Ticket Tailor はデータ処理者)</t>
        </is>
      </c>
    </row>
    <row r="267">
      <c r="A267" s="16" t="inlineStr">
        <is>
          <t>Ticket Tailor</t>
        </is>
      </c>
      <c r="B267" s="16" t="inlineStr">
        <is>
          <t>OP07</t>
        </is>
      </c>
      <c r="C267" s="16" t="inlineStr">
        <is>
          <t>一斉メッセージ</t>
        </is>
      </c>
      <c r="D267" s="13" t="inlineStr">
        <is>
          <t>✅</t>
        </is>
      </c>
      <c r="E267" s="16" t="inlineStr">
        <is>
          <t>公式</t>
        </is>
      </c>
      <c r="F267" s="17" t="inlineStr">
        <is>
          <t>https://www.tickettailor.com/features</t>
        </is>
      </c>
      <c r="G267" s="16" t="inlineStr">
        <is>
          <t>Email broadcast(無料、予約送信、チケット種別・イベントで絞り込み)と SMS・WhatsApp リマインド</t>
        </is>
      </c>
    </row>
    <row r="268">
      <c r="A268" s="16" t="inlineStr">
        <is>
          <t>Ticket Tailor</t>
        </is>
      </c>
      <c r="B268" s="16" t="inlineStr">
        <is>
          <t>OP08</t>
        </is>
      </c>
      <c r="C268" s="16" t="inlineStr">
        <is>
          <t>当日運営ツール</t>
        </is>
      </c>
      <c r="D268" s="13" t="inlineStr">
        <is>
          <t>✅</t>
        </is>
      </c>
      <c r="E268" s="16" t="inlineStr">
        <is>
          <t>公式</t>
        </is>
      </c>
      <c r="F268" s="17" t="inlineStr">
        <is>
          <t>https://www.tickettailor.com/features</t>
        </is>
      </c>
      <c r="G268" s="16" t="inlineStr">
        <is>
          <t>無料 Check-in アプリ(カメラ/外部スキャナ、オフライン可)、POS(Tap to Pay)、Printable doorlist</t>
        </is>
      </c>
    </row>
    <row r="269">
      <c r="A269" s="16" t="inlineStr">
        <is>
          <t>Ticket Tailor</t>
        </is>
      </c>
      <c r="B269" s="16" t="inlineStr">
        <is>
          <t>OP09</t>
        </is>
      </c>
      <c r="C269" s="16" t="inlineStr">
        <is>
          <t>売上・入金管理</t>
        </is>
      </c>
      <c r="D269" s="13" t="inlineStr">
        <is>
          <t>✅</t>
        </is>
      </c>
      <c r="E269" s="16" t="inlineStr">
        <is>
          <t>公式</t>
        </is>
      </c>
      <c r="F269" s="17" t="inlineStr">
        <is>
          <t>https://www.tickettailor.com/features</t>
        </is>
      </c>
      <c r="G269" s="16" t="inlineStr">
        <is>
          <t>Stripe・PayPal・Square の自アカウントへ直接入金(Ticket Tailor は資金を保持しない)、Revenue reporting</t>
        </is>
      </c>
    </row>
    <row r="270">
      <c r="A270" s="16" t="inlineStr">
        <is>
          <t>Ticket Tailor</t>
        </is>
      </c>
      <c r="B270" s="16" t="inlineStr">
        <is>
          <t>OP10</t>
        </is>
      </c>
      <c r="C270" s="16" t="inlineStr">
        <is>
          <t>流入・申込の分析</t>
        </is>
      </c>
      <c r="D270" s="13" t="inlineStr">
        <is>
          <t>✅</t>
        </is>
      </c>
      <c r="E270" s="16" t="inlineStr">
        <is>
          <t>公式</t>
        </is>
      </c>
      <c r="F270" s="17" t="inlineStr">
        <is>
          <t>https://www.tickettailor.com/promote-your-event</t>
        </is>
      </c>
      <c r="G270" s="16" t="inlineStr">
        <is>
          <t>トラッキングリンク、Meta・TikTok ピクセル、GA4、分析ダッシュボード、収益レポート</t>
        </is>
      </c>
    </row>
    <row r="271">
      <c r="A271" s="16" t="inlineStr">
        <is>
          <t>Ticket Tailor</t>
        </is>
      </c>
      <c r="B271" s="16" t="inlineStr">
        <is>
          <t>OP11</t>
        </is>
      </c>
      <c r="C271" s="16" t="inlineStr">
        <is>
          <t>主催者ページ・グループページ</t>
        </is>
      </c>
      <c r="D271" s="13" t="inlineStr">
        <is>
          <t>✅</t>
        </is>
      </c>
      <c r="E271" s="16" t="inlineStr">
        <is>
          <t>公式</t>
        </is>
      </c>
      <c r="F271" s="17" t="inlineStr">
        <is>
          <t>https://www.tickettailor.com/features</t>
        </is>
      </c>
      <c r="G271" s="16" t="inlineStr">
        <is>
          <t>Box office(主催者の公開ページ)と複数スタイルの Events calendar、年間ストア。過去イベント一覧は未確認</t>
        </is>
      </c>
    </row>
    <row r="272">
      <c r="A272" s="16" t="inlineStr">
        <is>
          <t>Ticket Tailor</t>
        </is>
      </c>
      <c r="B272" s="16" t="inlineStr">
        <is>
          <t>OP12</t>
        </is>
      </c>
      <c r="C272" s="16" t="inlineStr">
        <is>
          <t>外部ツール連携・API</t>
        </is>
      </c>
      <c r="D272" s="13" t="inlineStr">
        <is>
          <t>✅</t>
        </is>
      </c>
      <c r="E272" s="16" t="inlineStr">
        <is>
          <t>公式</t>
        </is>
      </c>
      <c r="F272" s="17" t="inlineStr">
        <is>
          <t>https://www.tickettailor.com/features</t>
        </is>
      </c>
      <c r="G272" s="16" t="inlineStr">
        <is>
          <t>Zapier、Mailchimp・HubSpot・Constant Contact・ActiveCampaign、Open API+webhooks。グロース根拠あり(創業者: Wix・WordPress 連携で発見性を確保)</t>
        </is>
      </c>
    </row>
    <row r="273">
      <c r="A273" s="16" t="inlineStr">
        <is>
          <t>Ticket Tailor</t>
        </is>
      </c>
      <c r="B273" s="16" t="inlineStr">
        <is>
          <t>AC01</t>
        </is>
      </c>
      <c r="C273" s="16" t="inlineStr">
        <is>
          <t>無料イベントは無料</t>
        </is>
      </c>
      <c r="D273" s="13" t="inlineStr">
        <is>
          <t>△</t>
        </is>
      </c>
      <c r="E273" s="16" t="inlineStr">
        <is>
          <t>公式</t>
        </is>
      </c>
      <c r="F273" s="17" t="inlineStr">
        <is>
          <t>https://www.tickettailor.com/pricing</t>
        </is>
      </c>
      <c r="G273" s="16" t="inlineStr">
        <is>
          <t>無料チケットは年5,000枚まで無料(同ページのFAQは2,000枚と記載し不一致)。超過分は小額の手数料(要問合せ)</t>
        </is>
      </c>
    </row>
    <row r="274">
      <c r="A274" s="16" t="inlineStr">
        <is>
          <t>Ticket Tailor</t>
        </is>
      </c>
      <c r="B274" s="16" t="inlineStr">
        <is>
          <t>AC02</t>
        </is>
      </c>
      <c r="C274" s="16" t="inlineStr">
        <is>
          <t>手数料負担の選択</t>
        </is>
      </c>
      <c r="D274" s="13" t="inlineStr">
        <is>
          <t>✅</t>
        </is>
      </c>
      <c r="E274" s="16" t="inlineStr">
        <is>
          <t>公式</t>
        </is>
      </c>
      <c r="F274" s="17" t="inlineStr">
        <is>
          <t>https://www.tickettailor.com/pricing</t>
        </is>
      </c>
      <c r="G274" s="16" t="inlineStr">
        <is>
          <t>booking fee として購入者へ転嫁するか、主催者が負担するかを選べる</t>
        </is>
      </c>
    </row>
    <row r="275">
      <c r="A275" s="16" t="inlineStr">
        <is>
          <t>Ticket Tailor</t>
        </is>
      </c>
      <c r="B275" s="16" t="inlineStr">
        <is>
          <t>AC03</t>
        </is>
      </c>
      <c r="C275" s="16" t="inlineStr">
        <is>
          <t>参加者データの所有・出力</t>
        </is>
      </c>
      <c r="D275" s="13" t="inlineStr">
        <is>
          <t>✅</t>
        </is>
      </c>
      <c r="E275" s="16" t="inlineStr">
        <is>
          <t>公式</t>
        </is>
      </c>
      <c r="F275" s="17" t="inlineStr">
        <is>
          <t>https://www.tickettailor.com/manage-your-orders</t>
        </is>
      </c>
      <c r="G275" s="16" t="inlineStr">
        <is>
          <t>顧客データは主催者のもの(Ticket Tailor はデータ処理者・主催者が管理者と明記)。CSV出力可</t>
        </is>
      </c>
    </row>
    <row r="276">
      <c r="A276" s="16" t="inlineStr">
        <is>
          <t>Ticket Tailor</t>
        </is>
      </c>
      <c r="B276" s="16" t="inlineStr">
        <is>
          <t>AC04</t>
        </is>
      </c>
      <c r="C276" s="16" t="inlineStr">
        <is>
          <t>他サービスからの移行</t>
        </is>
      </c>
      <c r="D276" s="13" t="inlineStr">
        <is>
          <t>✅</t>
        </is>
      </c>
      <c r="E276" s="16" t="inlineStr">
        <is>
          <t>公式</t>
        </is>
      </c>
      <c r="F276" s="17" t="inlineStr">
        <is>
          <t>https://www.tickettailor.com/eventbrite-alternative</t>
        </is>
      </c>
      <c r="G276" s="16" t="inlineStr">
        <is>
          <t>Importer で Eventbrite の販売中イベントを販売済みチケットごと移行可。Bulk import attendees もある。Eventbrite 売却後に比較記事で乗換え訴求(2026-04)</t>
        </is>
      </c>
    </row>
    <row r="277">
      <c r="A277" s="16" t="inlineStr">
        <is>
          <t>Ticket Tailor</t>
        </is>
      </c>
      <c r="B277" s="16" t="inlineStr">
        <is>
          <t>AC05</t>
        </is>
      </c>
      <c r="C277" s="16" t="inlineStr">
        <is>
          <t>主催者紹介・アンバサダー</t>
        </is>
      </c>
      <c r="D277" s="13" t="inlineStr">
        <is>
          <t>✅</t>
        </is>
      </c>
      <c r="E277" s="16" t="inlineStr">
        <is>
          <t>公式</t>
        </is>
      </c>
      <c r="F277" s="17" t="inlineStr">
        <is>
          <t>https://www.tickettailor.com/partner-program</t>
        </is>
      </c>
      <c r="G277" s="16" t="inlineStr">
        <is>
          <t>アフィリエイト: 紹介先の手数料の20%を毎月支払い、被紹介者に50クレジット。グロース根拠は逆(創業者: 紹介インセンティブは効かなかった)</t>
        </is>
      </c>
    </row>
    <row r="278">
      <c r="A278" s="16" t="inlineStr">
        <is>
          <t>Ticket Tailor</t>
        </is>
      </c>
      <c r="B278" s="16" t="inlineStr">
        <is>
          <t>AC06</t>
        </is>
      </c>
      <c r="C278" s="16" t="inlineStr">
        <is>
          <t>主催者向け教育・テンプレ</t>
        </is>
      </c>
      <c r="D278" s="13" t="inlineStr">
        <is>
          <t>✅</t>
        </is>
      </c>
      <c r="E278" s="16" t="inlineStr">
        <is>
          <t>公式</t>
        </is>
      </c>
      <c r="F278" s="17" t="inlineStr">
        <is>
          <t>https://www.tickettailor.com/</t>
        </is>
      </c>
      <c r="G278" s="16" t="inlineStr">
        <is>
          <t>ヘルプセンター(約400記事)、ウェビナー、ブログ、カスタマーストーリー(トップページの導線)</t>
        </is>
      </c>
    </row>
    <row r="279">
      <c r="A279" s="16" t="inlineStr">
        <is>
          <t>Ticket Tailor</t>
        </is>
      </c>
      <c r="B279" s="16" t="inlineStr">
        <is>
          <t>AC07</t>
        </is>
      </c>
      <c r="C279" s="16" t="inlineStr">
        <is>
          <t>集客支援の商品</t>
        </is>
      </c>
      <c r="D279" s="13" t="inlineStr">
        <is>
          <t>？</t>
        </is>
      </c>
      <c r="E279" s="16" t="inlineStr">
        <is>
          <t>なし</t>
        </is>
      </c>
      <c r="F279" s="16" t="inlineStr"/>
      <c r="G279" s="16" t="inlineStr">
        <is>
          <t>有料掲載・広告・ブーストの商品は公式資料で確認できず(トラッキング・QR等のツールのみ)</t>
        </is>
      </c>
    </row>
    <row r="280">
      <c r="A280" s="16" t="inlineStr">
        <is>
          <t>Ticket Tailor</t>
        </is>
      </c>
      <c r="B280" s="16" t="inlineStr">
        <is>
          <t>AC08</t>
        </is>
      </c>
      <c r="C280" s="16" t="inlineStr">
        <is>
          <t>運営主催・公式イベント</t>
        </is>
      </c>
      <c r="D280" s="13" t="inlineStr">
        <is>
          <t>？</t>
        </is>
      </c>
      <c r="E280" s="16" t="inlineStr">
        <is>
          <t>なし</t>
        </is>
      </c>
      <c r="F280" s="16" t="inlineStr"/>
      <c r="G280" s="16" t="inlineStr">
        <is>
          <t>運営自身のイベント主催・共催は公式資料で確認できず</t>
        </is>
      </c>
    </row>
    <row r="281">
      <c r="A281" s="16" t="inlineStr">
        <is>
          <t>Ticket Tailor</t>
        </is>
      </c>
      <c r="B281" s="16" t="inlineStr">
        <is>
          <t>CR01</t>
        </is>
      </c>
      <c r="C281" s="16" t="inlineStr">
        <is>
          <t>ダイジェスト・おすすめ通知</t>
        </is>
      </c>
      <c r="D281" s="13" t="inlineStr">
        <is>
          <t>❌</t>
        </is>
      </c>
      <c r="E281" s="16" t="inlineStr">
        <is>
          <t>公式</t>
        </is>
      </c>
      <c r="F281" s="17" t="inlineStr">
        <is>
          <t>https://www.tickettailor.com/eventbrite-alternative</t>
        </is>
      </c>
      <c r="G281" s="16" t="inlineStr">
        <is>
          <t>公式FAQ: 購入者は主催者の顧客で、他イベントの宣伝メールは送らないと明記。推薦・ダイジェスト配信はない</t>
        </is>
      </c>
    </row>
    <row r="282">
      <c r="A282" s="16" t="inlineStr">
        <is>
          <t>Ticket Tailor</t>
        </is>
      </c>
      <c r="B282" s="16" t="inlineStr">
        <is>
          <t>CR02</t>
        </is>
      </c>
      <c r="C282" s="16" t="inlineStr">
        <is>
          <t>自動メンバー化</t>
        </is>
      </c>
      <c r="D282" s="13" t="inlineStr">
        <is>
          <t>？</t>
        </is>
      </c>
      <c r="E282" s="16" t="inlineStr">
        <is>
          <t>なし</t>
        </is>
      </c>
      <c r="F282" s="16" t="inlineStr"/>
      <c r="G282" s="16" t="inlineStr">
        <is>
          <t>参加者の自動メンバー化は確認できず(メンバーシップ/シーズンパスは主催者が発行する別機能)</t>
        </is>
      </c>
    </row>
    <row r="283">
      <c r="A283" s="16" t="inlineStr">
        <is>
          <t>Ticket Tailor</t>
        </is>
      </c>
      <c r="B283" s="16" t="inlineStr">
        <is>
          <t>CR03</t>
        </is>
      </c>
      <c r="C283" s="16" t="inlineStr">
        <is>
          <t>前回参加者への優先案内</t>
        </is>
      </c>
      <c r="D283" s="13" t="inlineStr">
        <is>
          <t>△</t>
        </is>
      </c>
      <c r="E283" s="16" t="inlineStr">
        <is>
          <t>公式</t>
        </is>
      </c>
      <c r="F283" s="17" t="inlineStr">
        <is>
          <t>https://www.tickettailor.com/features</t>
        </is>
      </c>
      <c r="G283" s="16" t="inlineStr">
        <is>
          <t>パスワード付きチケット、バウチャーコード、メンバーシップで限定販売を設定できる。過去参加者への自動の優先案内は確認できず</t>
        </is>
      </c>
    </row>
    <row r="284">
      <c r="A284" s="16" t="inlineStr">
        <is>
          <t>Ticket Tailor</t>
        </is>
      </c>
      <c r="B284" s="16" t="inlineStr">
        <is>
          <t>CR04</t>
        </is>
      </c>
      <c r="C284" s="16" t="inlineStr">
        <is>
          <t>主催者CRM・購読者リスト</t>
        </is>
      </c>
      <c r="D284" s="13" t="inlineStr">
        <is>
          <t>△</t>
        </is>
      </c>
      <c r="E284" s="16" t="inlineStr">
        <is>
          <t>公式</t>
        </is>
      </c>
      <c r="F284" s="17" t="inlineStr">
        <is>
          <t>https://www.tickettailor.com/promote-your-event</t>
        </is>
      </c>
      <c r="G284" s="16" t="inlineStr">
        <is>
          <t>Mailchimp・HubSpot・Constant Contact・ActiveCampaign 連携と、マーケ同意の質問。自前のCRM・セグメントは確認できず</t>
        </is>
      </c>
    </row>
    <row r="285">
      <c r="A285" s="16" t="inlineStr">
        <is>
          <t>Ticket Tailor</t>
        </is>
      </c>
      <c r="B285" s="16" t="inlineStr">
        <is>
          <t>CR05</t>
        </is>
      </c>
      <c r="C285" s="16" t="inlineStr">
        <is>
          <t>参加履歴・バッジ・実績</t>
        </is>
      </c>
      <c r="D285" s="13" t="inlineStr">
        <is>
          <t>？</t>
        </is>
      </c>
      <c r="E285" s="16" t="inlineStr">
        <is>
          <t>なし</t>
        </is>
      </c>
      <c r="F285" s="16" t="inlineStr"/>
      <c r="G285" s="16" t="inlineStr">
        <is>
          <t>参加履歴・バッジ・実績の表示は公式資料で確認できず</t>
        </is>
      </c>
    </row>
    <row r="286">
      <c r="A286" s="16" t="inlineStr">
        <is>
          <t>Ticket Tailor</t>
        </is>
      </c>
      <c r="B286" s="16" t="inlineStr">
        <is>
          <t>CR06</t>
        </is>
      </c>
      <c r="C286" s="16" t="inlineStr">
        <is>
          <t>レビュー・評価</t>
        </is>
      </c>
      <c r="D286" s="13" t="inlineStr">
        <is>
          <t>？</t>
        </is>
      </c>
      <c r="E286" s="16" t="inlineStr">
        <is>
          <t>なし</t>
        </is>
      </c>
      <c r="F286" s="16" t="inlineStr"/>
      <c r="G286" s="16" t="inlineStr">
        <is>
          <t>主催者・イベントへの評価・レビュー機能は公式資料で確認できず</t>
        </is>
      </c>
    </row>
    <row r="287">
      <c r="A287" s="16" t="inlineStr">
        <is>
          <t>Ticket Tailor</t>
        </is>
      </c>
      <c r="B287" s="16" t="inlineStr">
        <is>
          <t>CR07</t>
        </is>
      </c>
      <c r="C287" s="16" t="inlineStr">
        <is>
          <t>グループチャット・掲示板</t>
        </is>
      </c>
      <c r="D287" s="13" t="inlineStr">
        <is>
          <t>？</t>
        </is>
      </c>
      <c r="E287" s="16" t="inlineStr">
        <is>
          <t>なし</t>
        </is>
      </c>
      <c r="F287" s="16" t="inlineStr"/>
      <c r="G287" s="16" t="inlineStr">
        <is>
          <t>参加者同士のチャット・掲示板は公式資料で確認できず(LinkedIn community builder は外部連携)</t>
        </is>
      </c>
    </row>
    <row r="288">
      <c r="A288" s="16" t="inlineStr">
        <is>
          <t>Ticket Tailor</t>
        </is>
      </c>
      <c r="B288" s="16" t="inlineStr">
        <is>
          <t>CR08</t>
        </is>
      </c>
      <c r="C288" s="16" t="inlineStr">
        <is>
          <t>年間まとめ・振り返り共有</t>
        </is>
      </c>
      <c r="D288" s="13" t="inlineStr">
        <is>
          <t>？</t>
        </is>
      </c>
      <c r="E288" s="16" t="inlineStr">
        <is>
          <t>なし</t>
        </is>
      </c>
      <c r="F288" s="16" t="inlineStr"/>
      <c r="G288" s="16" t="inlineStr">
        <is>
          <t>年間まとめ・振り返り共有は公式資料で確認できず</t>
        </is>
      </c>
    </row>
    <row r="289">
      <c r="A289" s="16" t="inlineStr">
        <is>
          <t>Ticket Tailor</t>
        </is>
      </c>
      <c r="B289" s="16" t="inlineStr">
        <is>
          <t>TS01</t>
        </is>
      </c>
      <c r="C289" s="16" t="inlineStr">
        <is>
          <t>本人確認・認証</t>
        </is>
      </c>
      <c r="D289" s="13" t="inlineStr">
        <is>
          <t>？</t>
        </is>
      </c>
      <c r="E289" s="16" t="inlineStr">
        <is>
          <t>なし</t>
        </is>
      </c>
      <c r="F289" s="16" t="inlineStr"/>
      <c r="G289" s="16" t="inlineStr">
        <is>
          <t>利用者の本人確認は公式資料で確認できず(決済は Stripe・PayPal・Square 側の審査に依存)</t>
        </is>
      </c>
    </row>
    <row r="290">
      <c r="A290" s="16" t="inlineStr">
        <is>
          <t>Ticket Tailor</t>
        </is>
      </c>
      <c r="B290" s="16" t="inlineStr">
        <is>
          <t>TS02</t>
        </is>
      </c>
      <c r="C290" s="16" t="inlineStr">
        <is>
          <t>主催者の審査・認定</t>
        </is>
      </c>
      <c r="D290" s="13" t="inlineStr">
        <is>
          <t>？</t>
        </is>
      </c>
      <c r="E290" s="16" t="inlineStr">
        <is>
          <t>なし</t>
        </is>
      </c>
      <c r="F290" s="16" t="inlineStr"/>
      <c r="G290" s="16" t="inlineStr">
        <is>
          <t>主催者の審査・認定バッジは公式資料で確認できず</t>
        </is>
      </c>
    </row>
    <row r="291">
      <c r="A291" s="16" t="inlineStr">
        <is>
          <t>Ticket Tailor</t>
        </is>
      </c>
      <c r="B291" s="16" t="inlineStr">
        <is>
          <t>TS03</t>
        </is>
      </c>
      <c r="C291" s="16" t="inlineStr">
        <is>
          <t>通報・ブロック・モデレーション</t>
        </is>
      </c>
      <c r="D291" s="13" t="inlineStr">
        <is>
          <t>？</t>
        </is>
      </c>
      <c r="E291" s="16" t="inlineStr">
        <is>
          <t>なし</t>
        </is>
      </c>
      <c r="F291" s="16" t="inlineStr"/>
      <c r="G291" s="16" t="inlineStr">
        <is>
          <t>通報・ブロックの機能は確認できず(Acceptable use policy の存在のみ)</t>
        </is>
      </c>
    </row>
    <row r="292">
      <c r="A292" s="16" t="inlineStr">
        <is>
          <t>Ticket Tailor</t>
        </is>
      </c>
      <c r="B292" s="16" t="inlineStr">
        <is>
          <t>TS04</t>
        </is>
      </c>
      <c r="C292" s="16" t="inlineStr">
        <is>
          <t>ドタキャン対策</t>
        </is>
      </c>
      <c r="D292" s="13" t="inlineStr">
        <is>
          <t>✅</t>
        </is>
      </c>
      <c r="E292" s="16" t="inlineStr">
        <is>
          <t>公式</t>
        </is>
      </c>
      <c r="F292" s="17" t="inlineStr">
        <is>
          <t>https://www.tickettailor.com/manage-your-orders</t>
        </is>
      </c>
      <c r="G292" s="16" t="inlineStr">
        <is>
          <t>返金の選択肢と条件を主催者が設定(Set custom business rules)。Refund Protection(保険)、前払い決済、分割払い(Klarna)</t>
        </is>
      </c>
    </row>
    <row r="293">
      <c r="A293" s="16" t="inlineStr">
        <is>
          <t>Ticket Tailor</t>
        </is>
      </c>
      <c r="B293" s="16" t="inlineStr">
        <is>
          <t>TS05</t>
        </is>
      </c>
      <c r="C293" s="16" t="inlineStr">
        <is>
          <t>参加者情報の保護</t>
        </is>
      </c>
      <c r="D293" s="13" t="inlineStr">
        <is>
          <t>？</t>
        </is>
      </c>
      <c r="E293" s="16" t="inlineStr">
        <is>
          <t>なし</t>
        </is>
      </c>
      <c r="F293" s="16" t="inlineStr"/>
      <c r="G293" s="16" t="inlineStr">
        <is>
          <t>参加者情報の限定公開・匿名表示は公式資料で確認できず(顧客データは主催者のみ参照)</t>
        </is>
      </c>
    </row>
    <row r="294">
      <c r="A294" s="16" t="inlineStr">
        <is>
          <t>Ticket Tailor</t>
        </is>
      </c>
      <c r="B294" s="16" t="inlineStr">
        <is>
          <t>TS06</t>
        </is>
      </c>
      <c r="C294" s="16" t="inlineStr">
        <is>
          <t>直接取引の抑止</t>
        </is>
      </c>
      <c r="D294" s="13" t="inlineStr">
        <is>
          <t>？</t>
        </is>
      </c>
      <c r="E294" s="16" t="inlineStr">
        <is>
          <t>なし</t>
        </is>
      </c>
      <c r="F294" s="16" t="inlineStr"/>
      <c r="G294" s="16" t="inlineStr">
        <is>
          <t>外部取引の抑止を目的とする規約・仕組みは確認できず</t>
        </is>
      </c>
    </row>
    <row r="295">
      <c r="A295" s="16" t="inlineStr">
        <is>
          <t>Ticket Tailor</t>
        </is>
      </c>
      <c r="B295" s="16" t="inlineStr">
        <is>
          <t>FD01</t>
        </is>
      </c>
      <c r="C295" s="16" t="inlineStr">
        <is>
          <t>メニューの事前注文・選択</t>
        </is>
      </c>
      <c r="D295" s="13" t="inlineStr">
        <is>
          <t>✅</t>
        </is>
      </c>
      <c r="E295" s="16" t="inlineStr">
        <is>
          <t>公式</t>
        </is>
      </c>
      <c r="F295" s="17" t="inlineStr">
        <is>
          <t>https://www.tickettailor.com/features-to-help-you-grow</t>
        </is>
      </c>
      <c r="G295" s="16" t="inlineStr">
        <is>
          <t>Sell products: チケットと一緒に、または年間ストアで merch から food and drink まで追加商品を注文に加えられる</t>
        </is>
      </c>
    </row>
    <row r="296">
      <c r="A296" s="16" t="inlineStr">
        <is>
          <t>Ticket Tailor</t>
        </is>
      </c>
      <c r="B296" s="16" t="inlineStr">
        <is>
          <t>FD02</t>
        </is>
      </c>
      <c r="C296" s="16" t="inlineStr">
        <is>
          <t>アレルギー・食の好みの登録</t>
        </is>
      </c>
      <c r="D296" s="13" t="inlineStr">
        <is>
          <t>△</t>
        </is>
      </c>
      <c r="E296" s="16" t="inlineStr">
        <is>
          <t>公式</t>
        </is>
      </c>
      <c r="F296" s="17" t="inlineStr">
        <is>
          <t>https://www.tickettailor.com/features</t>
        </is>
      </c>
      <c r="G296" s="16" t="inlineStr">
        <is>
          <t>カスタムチェックアウトフォームで質問を収集できる。専用のアレルギー管理・店舗共有は確認できず</t>
        </is>
      </c>
    </row>
    <row r="297">
      <c r="A297" s="16" t="inlineStr">
        <is>
          <t>Ticket Tailor</t>
        </is>
      </c>
      <c r="B297" s="16" t="inlineStr">
        <is>
          <t>FD03</t>
        </is>
      </c>
      <c r="C297" s="16" t="inlineStr">
        <is>
          <t>店舗向け管理画面</t>
        </is>
      </c>
      <c r="D297" s="13" t="inlineStr">
        <is>
          <t>△</t>
        </is>
      </c>
      <c r="E297" s="16" t="inlineStr">
        <is>
          <t>公式</t>
        </is>
      </c>
      <c r="F297" s="17" t="inlineStr">
        <is>
          <t>https://www.tickettailor.com/features</t>
        </is>
      </c>
      <c r="G297" s="16" t="inlineStr">
        <is>
          <t>汎用の box office・注文管理・チェックイン。飲食店専用の管理画面ではない</t>
        </is>
      </c>
    </row>
    <row r="298">
      <c r="A298" s="16" t="inlineStr">
        <is>
          <t>Ticket Tailor</t>
        </is>
      </c>
      <c r="B298" s="16" t="inlineStr">
        <is>
          <t>FD04</t>
        </is>
      </c>
      <c r="C298" s="16" t="inlineStr">
        <is>
          <t>人数確定の店舗通知・集計</t>
        </is>
      </c>
      <c r="D298" s="13" t="inlineStr">
        <is>
          <t>？</t>
        </is>
      </c>
      <c r="E298" s="16" t="inlineStr">
        <is>
          <t>なし</t>
        </is>
      </c>
      <c r="F298" s="16" t="inlineStr"/>
      <c r="G298" s="16" t="inlineStr">
        <is>
          <t>人数・注文の店舗通知・仕込み数集計は公式資料で確認できず</t>
        </is>
      </c>
    </row>
    <row r="299">
      <c r="A299" s="16" t="inlineStr">
        <is>
          <t>Ticket Tailor</t>
        </is>
      </c>
      <c r="B299" s="16" t="inlineStr">
        <is>
          <t>FD05</t>
        </is>
      </c>
      <c r="C299" s="16" t="inlineStr">
        <is>
          <t>席の確保・貸切の連携</t>
        </is>
      </c>
      <c r="D299" s="13" t="inlineStr">
        <is>
          <t>△</t>
        </is>
      </c>
      <c r="E299" s="16" t="inlineStr">
        <is>
          <t>公式</t>
        </is>
      </c>
      <c r="F299" s="17" t="inlineStr">
        <is>
          <t>https://www.tickettailor.com/features</t>
        </is>
      </c>
      <c r="G299" s="16" t="inlineStr">
        <is>
          <t>Reserved seating(座席表。fundraiser dinners を用途に例示)。店舗の席・貸切管理との連動は確認できず</t>
        </is>
      </c>
    </row>
    <row r="300">
      <c r="A300" s="16" t="inlineStr">
        <is>
          <t>Ticket Tailor</t>
        </is>
      </c>
      <c r="B300" s="16" t="inlineStr">
        <is>
          <t>FD06</t>
        </is>
      </c>
      <c r="C300" s="16" t="inlineStr">
        <is>
          <t>コース・固定メニュー</t>
        </is>
      </c>
      <c r="D300" s="13" t="inlineStr">
        <is>
          <t>？</t>
        </is>
      </c>
      <c r="E300" s="16" t="inlineStr">
        <is>
          <t>なし</t>
        </is>
      </c>
      <c r="F300" s="16" t="inlineStr"/>
      <c r="G300" s="16" t="inlineStr">
        <is>
          <t>コース・固定メニューの選択は公式資料で確認できず</t>
        </is>
      </c>
    </row>
    <row r="301">
      <c r="A301" s="16" t="inlineStr">
        <is>
          <t>Ticket Tailor</t>
        </is>
      </c>
      <c r="B301" s="16" t="inlineStr">
        <is>
          <t>FD07</t>
        </is>
      </c>
      <c r="C301" s="16" t="inlineStr">
        <is>
          <t>割り勘・個別会計</t>
        </is>
      </c>
      <c r="D301" s="13" t="inlineStr">
        <is>
          <t>？</t>
        </is>
      </c>
      <c r="E301" s="16" t="inlineStr">
        <is>
          <t>なし</t>
        </is>
      </c>
      <c r="F301" s="16" t="inlineStr"/>
      <c r="G301" s="16" t="inlineStr">
        <is>
          <t>割り勘・個別会計は公式資料で確認できず(Klarna 等の分割払いは購入者個人の支払い方法)</t>
        </is>
      </c>
    </row>
    <row r="302">
      <c r="A302" s="16" t="inlineStr">
        <is>
          <t>Ticket Tailor</t>
        </is>
      </c>
      <c r="B302" s="16" t="inlineStr">
        <is>
          <t>FD08</t>
        </is>
      </c>
      <c r="C302" s="16" t="inlineStr">
        <is>
          <t>店探し・店選び支援</t>
        </is>
      </c>
      <c r="D302" s="13" t="inlineStr">
        <is>
          <t>？</t>
        </is>
      </c>
      <c r="E302" s="16" t="inlineStr">
        <is>
          <t>なし</t>
        </is>
      </c>
      <c r="F302" s="16" t="inlineStr"/>
      <c r="G302" s="16" t="inlineStr">
        <is>
          <t>店探し・店選び支援は公式資料で確認できず</t>
        </is>
      </c>
    </row>
    <row r="303">
      <c r="A303" s="16" t="inlineStr">
        <is>
          <t>Ticket Tailor</t>
        </is>
      </c>
      <c r="B303" s="16" t="inlineStr">
        <is>
          <t>FD09</t>
        </is>
      </c>
      <c r="C303" s="16" t="inlineStr">
        <is>
          <t>売り切れ・限定数の管理</t>
        </is>
      </c>
      <c r="D303" s="13" t="inlineStr">
        <is>
          <t>✅</t>
        </is>
      </c>
      <c r="E303" s="16" t="inlineStr">
        <is>
          <t>公式</t>
        </is>
      </c>
      <c r="F303" s="17" t="inlineStr">
        <is>
          <t>https://www.tickettailor.com/features</t>
        </is>
      </c>
      <c r="G303" s="16" t="inlineStr">
        <is>
          <t>Ticket groups・容量管理、ピーク/オフピーク別の価格・容量ルール、販売開始/終了の予約</t>
        </is>
      </c>
    </row>
    <row r="304">
      <c r="A304" s="16" t="inlineStr">
        <is>
          <t>Ticket Tailor</t>
        </is>
      </c>
      <c r="B304" s="16" t="inlineStr">
        <is>
          <t>FD10</t>
        </is>
      </c>
      <c r="C304" s="16" t="inlineStr">
        <is>
          <t>提供形態の選択</t>
        </is>
      </c>
      <c r="D304" s="13" t="inlineStr">
        <is>
          <t>？</t>
        </is>
      </c>
      <c r="E304" s="16" t="inlineStr">
        <is>
          <t>なし</t>
        </is>
      </c>
      <c r="F304" s="16" t="inlineStr"/>
      <c r="G304" s="16" t="inlineStr">
        <is>
          <t>提供形態(イートイン・テイクアウト等)の選択は公式資料で確認できず</t>
        </is>
      </c>
    </row>
    <row r="305">
      <c r="A305" s="16" t="inlineStr">
        <is>
          <t>Ticket Tailor</t>
        </is>
      </c>
      <c r="B305" s="16" t="inlineStr">
        <is>
          <t>MN01</t>
        </is>
      </c>
      <c r="C305" s="16" t="inlineStr">
        <is>
          <t>手数料の明示</t>
        </is>
      </c>
      <c r="D305" s="13" t="inlineStr">
        <is>
          <t>✅</t>
        </is>
      </c>
      <c r="E305" s="16" t="inlineStr">
        <is>
          <t>公式</t>
        </is>
      </c>
      <c r="F305" s="17" t="inlineStr">
        <is>
          <t>https://www.tickettailor.com/pricing</t>
        </is>
      </c>
      <c r="G305" s="16" t="inlineStr">
        <is>
          <t>£0.60/枚(従量)〜£0.22/枚(前払い)+VAT、サブスクなしと公開。グロース根拠あり(創業者: 低価格・サポートの質・口コミで成長)</t>
        </is>
      </c>
    </row>
    <row r="306">
      <c r="A306" s="16" t="inlineStr">
        <is>
          <t>Ticket Tailor</t>
        </is>
      </c>
      <c r="B306" s="16" t="inlineStr">
        <is>
          <t>MN02</t>
        </is>
      </c>
      <c r="C306" s="16" t="inlineStr">
        <is>
          <t>主催者向け有料プラン</t>
        </is>
      </c>
      <c r="D306" s="13" t="inlineStr">
        <is>
          <t>❌</t>
        </is>
      </c>
      <c r="E306" s="16" t="inlineStr">
        <is>
          <t>公式</t>
        </is>
      </c>
      <c r="F306" s="17" t="inlineStr">
        <is>
          <t>https://www.tickettailor.com/</t>
        </is>
      </c>
      <c r="G306" s="16" t="inlineStr">
        <is>
          <t>月額・契約なしの従量課金と明記。ホワイトラベルは別途少額(For a small fee)</t>
        </is>
      </c>
    </row>
    <row r="307">
      <c r="A307" s="16" t="inlineStr">
        <is>
          <t>Ticket Tailor</t>
        </is>
      </c>
      <c r="B307" s="16" t="inlineStr">
        <is>
          <t>MN03</t>
        </is>
      </c>
      <c r="C307" s="16" t="inlineStr">
        <is>
          <t>任意チップ・寄付</t>
        </is>
      </c>
      <c r="D307" s="13" t="inlineStr">
        <is>
          <t>✅</t>
        </is>
      </c>
      <c r="E307" s="16" t="inlineStr">
        <is>
          <t>公式</t>
        </is>
      </c>
      <c r="F307" s="17" t="inlineStr">
        <is>
          <t>https://www.tickettailor.com/features</t>
        </is>
      </c>
      <c r="G307" s="16" t="inlineStr">
        <is>
          <t>Donations feature(購入者が寄付を上乗せ。無料機能で寄付に手数料なし)、Gift Aid 対応(英国)</t>
        </is>
      </c>
    </row>
    <row r="308">
      <c r="A308" s="16" t="inlineStr">
        <is>
          <t>Ticket Tailor</t>
        </is>
      </c>
      <c r="B308" s="16" t="inlineStr">
        <is>
          <t>MN04</t>
        </is>
      </c>
      <c r="C308" s="16" t="inlineStr">
        <is>
          <t>クーポン・割引コード</t>
        </is>
      </c>
      <c r="D308" s="13" t="inlineStr">
        <is>
          <t>✅</t>
        </is>
      </c>
      <c r="E308" s="16" t="inlineStr">
        <is>
          <t>公式</t>
        </is>
      </c>
      <c r="F308" s="17" t="inlineStr">
        <is>
          <t>https://www.tickettailor.com/promote-your-event</t>
        </is>
      </c>
      <c r="G308" s="16" t="inlineStr">
        <is>
          <t>割引コード(定額・割合・期限・利用上限)、早割・学割等のチケット種別、バウチャーコード、ギフトカード</t>
        </is>
      </c>
    </row>
    <row r="309">
      <c r="A309" s="16" t="inlineStr">
        <is>
          <t>Ticket Tailor</t>
        </is>
      </c>
      <c r="B309" s="16" t="inlineStr">
        <is>
          <t>MN05</t>
        </is>
      </c>
      <c r="C309" s="16" t="inlineStr">
        <is>
          <t>ポイント・会員特典</t>
        </is>
      </c>
      <c r="D309" s="13" t="inlineStr">
        <is>
          <t>△</t>
        </is>
      </c>
      <c r="E309" s="16" t="inlineStr">
        <is>
          <t>公式</t>
        </is>
      </c>
      <c r="F309" s="17" t="inlineStr">
        <is>
          <t>https://www.tickettailor.com/features</t>
        </is>
      </c>
      <c r="G309" s="16" t="inlineStr">
        <is>
          <t>メンバーシップ/シーズンパス、ギフトバウチャーを主催者が発行できる。ポイント制度は確認できず</t>
        </is>
      </c>
    </row>
    <row r="310">
      <c r="A310" s="16" t="inlineStr">
        <is>
          <t>Luma</t>
        </is>
      </c>
      <c r="B310" s="16" t="inlineStr">
        <is>
          <t>DS01</t>
        </is>
      </c>
      <c r="C310" s="16" t="inlineStr">
        <is>
          <t>キーワード・カテゴリ検索</t>
        </is>
      </c>
      <c r="D310" s="13" t="inlineStr">
        <is>
          <t>✅</t>
        </is>
      </c>
      <c r="E310" s="16" t="inlineStr">
        <is>
          <t>公式</t>
        </is>
      </c>
      <c r="F310" s="17" t="inlineStr">
        <is>
          <t>https://help.luma.com/p/searching-for-events</t>
        </is>
      </c>
      <c r="G310" s="16" t="inlineStr">
        <is>
          <t>アプリのDiscoverタブと、都市・カテゴリページ内でキーワード検索できる。カテゴリページ(AI・tech・wellness等)あり</t>
        </is>
      </c>
    </row>
    <row r="311">
      <c r="A311" s="16" t="inlineStr">
        <is>
          <t>Luma</t>
        </is>
      </c>
      <c r="B311" s="16" t="inlineStr">
        <is>
          <t>DS02</t>
        </is>
      </c>
      <c r="C311" s="16" t="inlineStr">
        <is>
          <t>地域・地図検索</t>
        </is>
      </c>
      <c r="D311" s="13" t="inlineStr">
        <is>
          <t>✅</t>
        </is>
      </c>
      <c r="E311" s="16" t="inlineStr">
        <is>
          <t>公式</t>
        </is>
      </c>
      <c r="F311" s="17" t="inlineStr">
        <is>
          <t>https://help.luma.com/p/searching-for-events</t>
        </is>
      </c>
      <c r="G311" s="16" t="inlineStr">
        <is>
          <t>位置情報を考慮した検索、地図の移動、都市ページ。luma.com/discover に東京・大阪などの都市ページがある(2026-10確認)</t>
        </is>
      </c>
    </row>
    <row r="312">
      <c r="A312" s="16" t="inlineStr">
        <is>
          <t>Luma</t>
        </is>
      </c>
      <c r="B312" s="16" t="inlineStr">
        <is>
          <t>DS03</t>
        </is>
      </c>
      <c r="C312" s="16" t="inlineStr">
        <is>
          <t>日付・価格等の絞り込み</t>
        </is>
      </c>
      <c r="D312" s="13" t="inlineStr">
        <is>
          <t>△</t>
        </is>
      </c>
      <c r="E312" s="16" t="inlineStr">
        <is>
          <t>公式</t>
        </is>
      </c>
      <c r="F312" s="17" t="inlineStr">
        <is>
          <t>https://help.luma.com/p/searching-for-events</t>
        </is>
      </c>
      <c r="G312" s="16" t="inlineStr">
        <is>
          <t>オンライン(Virtual Events)と地域の絞り込み、Calendarページのタグ絞り込みはある。日付・価格の汎用絞り込みは公式ヘルプに記載なし</t>
        </is>
      </c>
    </row>
    <row r="313">
      <c r="A313" s="16" t="inlineStr">
        <is>
          <t>Luma</t>
        </is>
      </c>
      <c r="B313" s="16" t="inlineStr">
        <is>
          <t>DS04</t>
        </is>
      </c>
      <c r="C313" s="16" t="inlineStr">
        <is>
          <t>パーソナライズ推薦</t>
        </is>
      </c>
      <c r="D313" s="13" t="inlineStr">
        <is>
          <t>✅</t>
        </is>
      </c>
      <c r="E313" s="16" t="inlineStr">
        <is>
          <t>公式</t>
        </is>
      </c>
      <c r="F313" s="17" t="inlineStr">
        <is>
          <t>https://help.luma.com/p/discovering-events</t>
        </is>
      </c>
      <c r="G313" s="16" t="inlineStr">
        <is>
          <t>フォローしたCalendarと購読した都市・カテゴリに基づくHomeフィード(アプリ)と週次ダイジェスト。閲覧履歴ベースの推薦は未確認</t>
        </is>
      </c>
    </row>
    <row r="314">
      <c r="A314" s="16" t="inlineStr">
        <is>
          <t>Luma</t>
        </is>
      </c>
      <c r="B314" s="16" t="inlineStr">
        <is>
          <t>DS05</t>
        </is>
      </c>
      <c r="C314" s="16" t="inlineStr">
        <is>
          <t>フォロー</t>
        </is>
      </c>
      <c r="D314" s="13" t="inlineStr">
        <is>
          <t>✅</t>
        </is>
      </c>
      <c r="E314" s="16" t="inlineStr">
        <is>
          <t>公式</t>
        </is>
      </c>
      <c r="F314" s="17" t="inlineStr">
        <is>
          <t>https://help.luma.com/p/luma-calendar-overview</t>
        </is>
      </c>
      <c r="G314" s="16" t="inlineStr">
        <is>
          <t>主催者のCalendarページをFollowすると、そのイベント・ニュースレター・リマインドを受け取れる</t>
        </is>
      </c>
    </row>
    <row r="315">
      <c r="A315" s="16" t="inlineStr">
        <is>
          <t>Luma</t>
        </is>
      </c>
      <c r="B315" s="16" t="inlineStr">
        <is>
          <t>DS06</t>
        </is>
      </c>
      <c r="C315" s="16" t="inlineStr">
        <is>
          <t>ブックマーク・ウィッシュリスト</t>
        </is>
      </c>
      <c r="D315" s="13" t="inlineStr">
        <is>
          <t>？</t>
        </is>
      </c>
      <c r="E315" s="16" t="inlineStr">
        <is>
          <t>なし</t>
        </is>
      </c>
      <c r="F315" s="16" t="inlineStr"/>
      <c r="G315" s="16" t="inlineStr">
        <is>
          <t>公式ヘルプ(discovering-events、searching-for-events)に保存・ブックマーク機能の記載を確認できず</t>
        </is>
      </c>
    </row>
    <row r="316">
      <c r="A316" s="16" t="inlineStr">
        <is>
          <t>Luma</t>
        </is>
      </c>
      <c r="B316" s="16" t="inlineStr">
        <is>
          <t>DS07</t>
        </is>
      </c>
      <c r="C316" s="16" t="inlineStr">
        <is>
          <t>公開ディレクトリ・都市×カテゴリページ</t>
        </is>
      </c>
      <c r="D316" s="13" t="inlineStr">
        <is>
          <t>✅</t>
        </is>
      </c>
      <c r="E316" s="16" t="inlineStr">
        <is>
          <t>公式</t>
        </is>
      </c>
      <c r="F316" s="17" t="inlineStr">
        <is>
          <t>https://help.luma.com/p/featuring-your-event-on-luma</t>
        </is>
      </c>
      <c r="G316" s="16" t="inlineStr">
        <is>
          <t>50都市超のexploreページとカテゴリページがある。公開イベントは検索エンジンにインデックスされうる(setting-your-event-visibility)</t>
        </is>
      </c>
    </row>
    <row r="317">
      <c r="A317" s="16" t="inlineStr">
        <is>
          <t>Luma</t>
        </is>
      </c>
      <c r="B317" s="16" t="inlineStr">
        <is>
          <t>DS08</t>
        </is>
      </c>
      <c r="C317" s="16" t="inlineStr">
        <is>
          <t>キュレーション・特集</t>
        </is>
      </c>
      <c r="D317" s="13" t="inlineStr">
        <is>
          <t>✅</t>
        </is>
      </c>
      <c r="E317" s="16" t="inlineStr">
        <is>
          <t>公式</t>
        </is>
      </c>
      <c r="F317" s="17" t="inlineStr">
        <is>
          <t>https://help.luma.com/p/featuring-your-event-on-luma</t>
        </is>
      </c>
      <c r="G317" s="16" t="inlineStr">
        <is>
          <t>キュレーションチームまたは自動キュレーションが都市ページに掲載。提出不要・保証なし。週次の都市ニュースレターに約20件を載せる</t>
        </is>
      </c>
    </row>
    <row r="318">
      <c r="A318" s="16" t="inlineStr">
        <is>
          <t>Luma</t>
        </is>
      </c>
      <c r="B318" s="16" t="inlineStr">
        <is>
          <t>JN01</t>
        </is>
      </c>
      <c r="C318" s="16" t="inlineStr">
        <is>
          <t>アカウント不要の申込</t>
        </is>
      </c>
      <c r="D318" s="13" t="inlineStr">
        <is>
          <t>✅</t>
        </is>
      </c>
      <c r="E318" s="16" t="inlineStr">
        <is>
          <t>公式</t>
        </is>
      </c>
      <c r="F318" s="17" t="inlineStr">
        <is>
          <t>https://help.luma.com/p/event-registration-process</t>
        </is>
      </c>
      <c r="G318" s="16" t="inlineStr">
        <is>
          <t>名前とメールだけで登録でき、Lumaアカウントやサインインは不要。グロース根拠あり(牽引機能として既存ノートに記載)</t>
        </is>
      </c>
    </row>
    <row r="319">
      <c r="A319" s="16" t="inlineStr">
        <is>
          <t>Luma</t>
        </is>
      </c>
      <c r="B319" s="16" t="inlineStr">
        <is>
          <t>JN02</t>
        </is>
      </c>
      <c r="C319" s="16" t="inlineStr">
        <is>
          <t>簡易ログイン</t>
        </is>
      </c>
      <c r="D319" s="13" t="inlineStr">
        <is>
          <t>✅</t>
        </is>
      </c>
      <c r="E319" s="16" t="inlineStr">
        <is>
          <t>公式</t>
        </is>
      </c>
      <c r="F319" s="17" t="inlineStr">
        <is>
          <t>https://help.luma.com/p/signing-in</t>
        </is>
      </c>
      <c r="G319" s="16" t="inlineStr">
        <is>
          <t>メールの6桁コード、電話(SMS・WhatsApp・Telegram)、Google・Apple、パスキー、任意のパスワードでログインできる</t>
        </is>
      </c>
    </row>
    <row r="320">
      <c r="A320" s="16" t="inlineStr">
        <is>
          <t>Luma</t>
        </is>
      </c>
      <c r="B320" s="16" t="inlineStr">
        <is>
          <t>JN03</t>
        </is>
      </c>
      <c r="C320" s="16" t="inlineStr">
        <is>
          <t>承認制・参加申請</t>
        </is>
      </c>
      <c r="D320" s="13" t="inlineStr">
        <is>
          <t>✅</t>
        </is>
      </c>
      <c r="E320" s="16" t="inlineStr">
        <is>
          <t>公式</t>
        </is>
      </c>
      <c r="F320" s="17" t="inlineStr">
        <is>
          <t>https://help.luma.com/p/setting-up-ticket-types</t>
        </is>
      </c>
      <c r="G320" s="16" t="inlineStr">
        <is>
          <t>券種ごとに承認制(Require Approval)を設定でき、無料・有料とも対象。有料は承認時にカードを課金する(Freeプランでも利用可=pricing)</t>
        </is>
      </c>
    </row>
    <row r="321">
      <c r="A321" s="16" t="inlineStr">
        <is>
          <t>Luma</t>
        </is>
      </c>
      <c r="B321" s="16" t="inlineStr">
        <is>
          <t>JN04</t>
        </is>
      </c>
      <c r="C321" s="16" t="inlineStr">
        <is>
          <t>ウェイトリスト</t>
        </is>
      </c>
      <c r="D321" s="13" t="inlineStr">
        <is>
          <t>✅</t>
        </is>
      </c>
      <c r="E321" s="16" t="inlineStr">
        <is>
          <t>公式</t>
        </is>
      </c>
      <c r="F321" s="17" t="inlineStr">
        <is>
          <t>https://help.luma.com/p/waitlist</t>
        </is>
      </c>
      <c r="G321" s="16" t="inlineStr">
        <is>
          <t>定員超過で待機リストに入り、ホストが個別・一括で承認する。有料でも可(与信保留→承認時に課金)。暗号資産建てチケットは不可</t>
        </is>
      </c>
    </row>
    <row r="322">
      <c r="A322" s="16" t="inlineStr">
        <is>
          <t>Luma</t>
        </is>
      </c>
      <c r="B322" s="16" t="inlineStr">
        <is>
          <t>JN05</t>
        </is>
      </c>
      <c r="C322" s="16" t="inlineStr">
        <is>
          <t>定員・残席の表示</t>
        </is>
      </c>
      <c r="D322" s="13" t="inlineStr">
        <is>
          <t>？</t>
        </is>
      </c>
      <c r="E322" s="16" t="inlineStr">
        <is>
          <t>なし</t>
        </is>
      </c>
      <c r="F322" s="16" t="inlineStr"/>
      <c r="G322" s="16" t="inlineStr">
        <is>
          <t>定員の設定と待機リストは確認できたが、参加者向けの定員・残席の表示は公式ヘルプで確認できず(既存ノート03に「残席・早割の推奨」の記載のみ)</t>
        </is>
      </c>
    </row>
    <row r="323">
      <c r="A323" s="16" t="inlineStr">
        <is>
          <t>Luma</t>
        </is>
      </c>
      <c r="B323" s="16" t="inlineStr">
        <is>
          <t>JN06</t>
        </is>
      </c>
      <c r="C323" s="16" t="inlineStr">
        <is>
          <t>追加質問・同行者の入力</t>
        </is>
      </c>
      <c r="D323" s="13" t="inlineStr">
        <is>
          <t>△</t>
        </is>
      </c>
      <c r="E323" s="16" t="inlineStr">
        <is>
          <t>公式</t>
        </is>
      </c>
      <c r="F323" s="17" t="inlineStr">
        <is>
          <t>https://help.luma.com/p/collect-registration-questions</t>
        </is>
      </c>
      <c r="G323" s="16" t="inlineStr">
        <is>
          <t>登録質問(テキスト・選択式・SNS等)は可。券種別の質問・条件分岐は非対応、同行者ごとの氏名入力も「未対応」と明記(group-registration)</t>
        </is>
      </c>
    </row>
    <row r="324">
      <c r="A324" s="16" t="inlineStr">
        <is>
          <t>Luma</t>
        </is>
      </c>
      <c r="B324" s="16" t="inlineStr">
        <is>
          <t>JN07</t>
        </is>
      </c>
      <c r="C324" s="16" t="inlineStr">
        <is>
          <t>参加者のセルフキャンセル</t>
        </is>
      </c>
      <c r="D324" s="13" t="inlineStr">
        <is>
          <t>△</t>
        </is>
      </c>
      <c r="E324" s="16" t="inlineStr">
        <is>
          <t>公式</t>
        </is>
      </c>
      <c r="F324" s="17" t="inlineStr">
        <is>
          <t>https://help.luma.com/p/refunding-a-guest</t>
        </is>
      </c>
      <c r="G324" s="16" t="inlineStr">
        <is>
          <t>ゲスト自身の登録キャンセル・待機リスト取消は可。返金はホストがGuestsタブかStripeで実施し、返金ポリシーは文書のみで自動返金なし</t>
        </is>
      </c>
    </row>
    <row r="325">
      <c r="A325" s="16" t="inlineStr">
        <is>
          <t>Luma</t>
        </is>
      </c>
      <c r="B325" s="16" t="inlineStr">
        <is>
          <t>JN08</t>
        </is>
      </c>
      <c r="C325" s="16" t="inlineStr">
        <is>
          <t>カレンダー追加</t>
        </is>
      </c>
      <c r="D325" s="13" t="inlineStr">
        <is>
          <t>✅</t>
        </is>
      </c>
      <c r="E325" s="16" t="inlineStr">
        <is>
          <t>公式</t>
        </is>
      </c>
      <c r="F325" s="17" t="inlineStr">
        <is>
          <t>https://help.luma.com/p/ical-syncing</t>
        </is>
      </c>
      <c r="G325" s="16" t="inlineStr">
        <is>
          <t>確認メールに自動追加されるカレンダー招待、iCal購読(個人・Calendar・都市単位)、Apple/Googleウォレットパスがある</t>
        </is>
      </c>
    </row>
    <row r="326">
      <c r="A326" s="16" t="inlineStr">
        <is>
          <t>Luma</t>
        </is>
      </c>
      <c r="B326" s="16" t="inlineStr">
        <is>
          <t>JN09</t>
        </is>
      </c>
      <c r="C326" s="16" t="inlineStr">
        <is>
          <t>開催前リマインド</t>
        </is>
      </c>
      <c r="D326" s="13" t="inlineStr">
        <is>
          <t>✅</t>
        </is>
      </c>
      <c r="E326" s="16" t="inlineStr">
        <is>
          <t>公式</t>
        </is>
      </c>
      <c r="F326" s="17" t="inlineStr">
        <is>
          <t>https://help.luma.com/p/update-to-reminders-on-luma</t>
        </is>
      </c>
      <c r="G326" s="16" t="inlineStr">
        <is>
          <t>1日前と1時間前にメール・SMS・プッシュで自動リマインド。ホストは編集不可でブラストで代替。承認待ち・待機中には送られない</t>
        </is>
      </c>
    </row>
    <row r="327">
      <c r="A327" s="16" t="inlineStr">
        <is>
          <t>Luma</t>
        </is>
      </c>
      <c r="B327" s="16" t="inlineStr">
        <is>
          <t>JN10</t>
        </is>
      </c>
      <c r="C327" s="16" t="inlineStr">
        <is>
          <t>QRチケット・当日受付</t>
        </is>
      </c>
      <c r="D327" s="13" t="inlineStr">
        <is>
          <t>✅</t>
        </is>
      </c>
      <c r="E327" s="16" t="inlineStr">
        <is>
          <t>公式</t>
        </is>
      </c>
      <c r="F327" s="17" t="inlineStr">
        <is>
          <t>https://help.luma.com/p/check-in</t>
        </is>
      </c>
      <c r="G327" s="16" t="inlineStr">
        <is>
          <t>登録時にQRコードが発行され、Lumaのスキャナーで受付。ウォレットパスのQRはオフラインでも表示できる</t>
        </is>
      </c>
    </row>
    <row r="328">
      <c r="A328" s="16" t="inlineStr">
        <is>
          <t>Luma</t>
        </is>
      </c>
      <c r="B328" s="16" t="inlineStr">
        <is>
          <t>JN11</t>
        </is>
      </c>
      <c r="C328" s="16" t="inlineStr">
        <is>
          <t>参加者一覧の閲覧</t>
        </is>
      </c>
      <c r="D328" s="13" t="inlineStr">
        <is>
          <t>✅</t>
        </is>
      </c>
      <c r="E328" s="16" t="inlineStr">
        <is>
          <t>公式</t>
        </is>
      </c>
      <c r="F328" s="17" t="inlineStr">
        <is>
          <t>https://help.luma.com/p/event-guest-list</t>
        </is>
      </c>
      <c r="G328" s="16" t="inlineStr">
        <is>
          <t>イベントページに参加人数と一部ゲストの名前・写真を表示。全リストはホストと承認済みゲストのみ。ホストが非表示にもできる</t>
        </is>
      </c>
    </row>
    <row r="329">
      <c r="A329" s="16" t="inlineStr">
        <is>
          <t>Luma</t>
        </is>
      </c>
      <c r="B329" s="16" t="inlineStr">
        <is>
          <t>JN12</t>
        </is>
      </c>
      <c r="C329" s="16" t="inlineStr">
        <is>
          <t>イベント後の体験</t>
        </is>
      </c>
      <c r="D329" s="13" t="inlineStr">
        <is>
          <t>✅</t>
        </is>
      </c>
      <c r="E329" s="16" t="inlineStr">
        <is>
          <t>公式</t>
        </is>
      </c>
      <c r="F329" s="17" t="inlineStr">
        <is>
          <t>https://help.luma.com/p/collect-feedback-from-your-event-guests</t>
        </is>
      </c>
      <c r="G329" s="16" t="inlineStr">
        <is>
          <t>終了後にフィードバックメール(絵文字評価+コメント)を自動送信しInsightsで集計。終了後7日以内はブラストも可。写真アルバムは確認できず</t>
        </is>
      </c>
    </row>
    <row r="330">
      <c r="A330" s="16" t="inlineStr">
        <is>
          <t>Luma</t>
        </is>
      </c>
      <c r="B330" s="16" t="inlineStr">
        <is>
          <t>SH01</t>
        </is>
      </c>
      <c r="C330" s="16" t="inlineStr">
        <is>
          <t>共有用URL・OGPカード</t>
        </is>
      </c>
      <c r="D330" s="13" t="inlineStr">
        <is>
          <t>✅</t>
        </is>
      </c>
      <c r="E330" s="16" t="inlineStr">
        <is>
          <t>公式</t>
        </is>
      </c>
      <c r="F330" s="17" t="inlineStr">
        <is>
          <t>https://help.luma.com/p/updating-social-images</t>
        </is>
      </c>
      <c r="G330" s="16" t="inlineStr">
        <is>
          <t>カバー画像とイベント名からOGP用のプレビュー画像を自動生成する。公開URLはluma.com/xxxx形式</t>
        </is>
      </c>
    </row>
    <row r="331">
      <c r="A331" s="16" t="inlineStr">
        <is>
          <t>Luma</t>
        </is>
      </c>
      <c r="B331" s="16" t="inlineStr">
        <is>
          <t>SH02</t>
        </is>
      </c>
      <c r="C331" s="16" t="inlineStr">
        <is>
          <t>SNS・メッセージ共有ボタン</t>
        </is>
      </c>
      <c r="D331" s="13" t="inlineStr">
        <is>
          <t>△</t>
        </is>
      </c>
      <c r="E331" s="16" t="inlineStr">
        <is>
          <t>公式</t>
        </is>
      </c>
      <c r="F331" s="17" t="inlineStr">
        <is>
          <t>https://help.luma.com/p/promote-your-event</t>
        </is>
      </c>
      <c r="G331" s="16" t="inlineStr">
        <is>
          <t>iOSアプリの共有ボタンとポスター画像の共有(Instagramストーリーズ等)を公式ヘルプで確認。Web・Androidでの共有ボタンは公式ヘルプで未確認(アプリ限定の条件付き)</t>
        </is>
      </c>
    </row>
    <row r="332">
      <c r="A332" s="16" t="inlineStr">
        <is>
          <t>Luma</t>
        </is>
      </c>
      <c r="B332" s="16" t="inlineStr">
        <is>
          <t>SH03</t>
        </is>
      </c>
      <c r="C332" s="16" t="inlineStr">
        <is>
          <t>友人・同行者の招待導線</t>
        </is>
      </c>
      <c r="D332" s="13" t="inlineStr">
        <is>
          <t>✅</t>
        </is>
      </c>
      <c r="E332" s="16" t="inlineStr">
        <is>
          <t>公式</t>
        </is>
      </c>
      <c r="F332" s="17" t="inlineStr">
        <is>
          <t>https://help.luma.com/p/event-referrals</t>
        </is>
      </c>
      <c r="G332" s="16" t="inlineStr">
        <is>
          <t>登録直後にゲストへ友人招待リンクの共有を促す。ホストも招待メールを送れ、開封・クリック・登録を追跡する(promote-your-event)</t>
        </is>
      </c>
    </row>
    <row r="333">
      <c r="A333" s="16" t="inlineStr">
        <is>
          <t>Luma</t>
        </is>
      </c>
      <c r="B333" s="16" t="inlineStr">
        <is>
          <t>SH04</t>
        </is>
      </c>
      <c r="C333" s="16" t="inlineStr">
        <is>
          <t>紹介リンク・紹介の可視化</t>
        </is>
      </c>
      <c r="D333" s="13" t="inlineStr">
        <is>
          <t>✅</t>
        </is>
      </c>
      <c r="E333" s="16" t="inlineStr">
        <is>
          <t>公式</t>
        </is>
      </c>
      <c r="F333" s="17" t="inlineStr">
        <is>
          <t>https://help.luma.com/p/event-referrals</t>
        </is>
      </c>
      <c r="G333" s="16" t="inlineStr">
        <is>
          <t>ゲスト個別の紹介リンクで誰が誰を招待したかをInsightsとゲストプロフィールに表示。報酬なし。公開イベントのみ対象</t>
        </is>
      </c>
    </row>
    <row r="334">
      <c r="A334" s="16" t="inlineStr">
        <is>
          <t>Luma</t>
        </is>
      </c>
      <c r="B334" s="16" t="inlineStr">
        <is>
          <t>SH05</t>
        </is>
      </c>
      <c r="C334" s="16" t="inlineStr">
        <is>
          <t>連絡先・SNS連携で友人発見</t>
        </is>
      </c>
      <c r="D334" s="13" t="inlineStr">
        <is>
          <t>✅</t>
        </is>
      </c>
      <c r="E334" s="16" t="inlineStr">
        <is>
          <t>公式</t>
        </is>
      </c>
      <c r="F334" s="17" t="inlineStr">
        <is>
          <t>https://help.luma.com/p/inviting-and-adding-guests-to-your-event</t>
        </is>
      </c>
      <c r="G334" s="16" t="inlineStr">
        <is>
          <t>Googleコンタクト(Web)・電話の連絡先(iOS)・CSVから招待できる。電話番号のみの連絡先も可(importing-contacts)</t>
        </is>
      </c>
    </row>
    <row r="335">
      <c r="A335" s="16" t="inlineStr">
        <is>
          <t>Luma</t>
        </is>
      </c>
      <c r="B335" s="16" t="inlineStr">
        <is>
          <t>SH06</t>
        </is>
      </c>
      <c r="C335" s="16" t="inlineStr">
        <is>
          <t>社会的証明の表示</t>
        </is>
      </c>
      <c r="D335" s="13" t="inlineStr">
        <is>
          <t>✅</t>
        </is>
      </c>
      <c r="E335" s="16" t="inlineStr">
        <is>
          <t>公式</t>
        </is>
      </c>
      <c r="F335" s="17" t="inlineStr">
        <is>
          <t>https://help.luma.com/p/event-guest-list</t>
        </is>
      </c>
      <c r="G335" s="16" t="inlineStr">
        <is>
          <t>イベントページに参加人数と一部ゲストの名前を表示(例: 162 Going。luma.com/kue3uokk で確認)</t>
        </is>
      </c>
    </row>
    <row r="336">
      <c r="A336" s="16" t="inlineStr">
        <is>
          <t>Luma</t>
        </is>
      </c>
      <c r="B336" s="16" t="inlineStr">
        <is>
          <t>SH07</t>
        </is>
      </c>
      <c r="C336" s="16" t="inlineStr">
        <is>
          <t>QR・短縮URL・チラシ生成</t>
        </is>
      </c>
      <c r="D336" s="13" t="inlineStr">
        <is>
          <t>△</t>
        </is>
      </c>
      <c r="E336" s="16" t="inlineStr">
        <is>
          <t>公式</t>
        </is>
      </c>
      <c r="F336" s="17" t="inlineStr">
        <is>
          <t>https://help.luma.com/p/promote-your-event</t>
        </is>
      </c>
      <c r="G336" s="16" t="inlineStr">
        <is>
          <t>iOSアプリでQRコード表示・ポスター画像の自動生成、UTM付きリンクの作成を確認(アプリ限定の条件付き)。カスタムURLはPlus限定、短縮URL機能の説明は確認できず</t>
        </is>
      </c>
    </row>
    <row r="337">
      <c r="A337" s="16" t="inlineStr">
        <is>
          <t>Luma</t>
        </is>
      </c>
      <c r="B337" s="16" t="inlineStr">
        <is>
          <t>SH08</t>
        </is>
      </c>
      <c r="C337" s="16" t="inlineStr">
        <is>
          <t>埋め込みウィジェット</t>
        </is>
      </c>
      <c r="D337" s="13" t="inlineStr">
        <is>
          <t>✅</t>
        </is>
      </c>
      <c r="E337" s="16" t="inlineStr">
        <is>
          <t>公式</t>
        </is>
      </c>
      <c r="F337" s="17" t="inlineStr">
        <is>
          <t>https://help.luma.com/p/embed-luma-on-your-website</t>
        </is>
      </c>
      <c r="G337" s="16" t="inlineStr">
        <is>
          <t>登録ボタン・イベントページ・Calendar一覧を外部サイトに埋め込める。Apple Payは埋め込み内で非表示</t>
        </is>
      </c>
    </row>
    <row r="338">
      <c r="A338" s="16" t="inlineStr">
        <is>
          <t>Luma</t>
        </is>
      </c>
      <c r="B338" s="16" t="inlineStr">
        <is>
          <t>OP01</t>
        </is>
      </c>
      <c r="C338" s="16" t="inlineStr">
        <is>
          <t>簡単な作成</t>
        </is>
      </c>
      <c r="D338" s="13" t="inlineStr">
        <is>
          <t>✅</t>
        </is>
      </c>
      <c r="E338" s="16" t="inlineStr">
        <is>
          <t>公式</t>
        </is>
      </c>
      <c r="F338" s="17" t="inlineStr">
        <is>
          <t>https://help.luma.com/p/creating-an-event</t>
        </is>
      </c>
      <c r="G338" s="16" t="inlineStr">
        <is>
          <t>タイトル・日時・場所・カバー画像・テーマ(40種超)を選ぶだけで即時に作成・公開できる。テンプレートの明記はなし</t>
        </is>
      </c>
    </row>
    <row r="339">
      <c r="A339" s="16" t="inlineStr">
        <is>
          <t>Luma</t>
        </is>
      </c>
      <c r="B339" s="16" t="inlineStr">
        <is>
          <t>OP02</t>
        </is>
      </c>
      <c r="C339" s="16" t="inlineStr">
        <is>
          <t>コピー・繰り返し作成</t>
        </is>
      </c>
      <c r="D339" s="13" t="inlineStr">
        <is>
          <t>✅</t>
        </is>
      </c>
      <c r="E339" s="16" t="inlineStr">
        <is>
          <t>公式</t>
        </is>
      </c>
      <c r="F339" s="17" t="inlineStr">
        <is>
          <t>https://help.luma.com/p/cloning-events</t>
        </is>
      </c>
      <c r="G339" s="16" t="inlineStr">
        <is>
          <t>イベント複製(参加者とブラスト以外を全コピー)、Webで最大30件の日程・繰り返しパターンを一括作成できる</t>
        </is>
      </c>
    </row>
    <row r="340">
      <c r="A340" s="16" t="inlineStr">
        <is>
          <t>Luma</t>
        </is>
      </c>
      <c r="B340" s="16" t="inlineStr">
        <is>
          <t>OP03</t>
        </is>
      </c>
      <c r="C340" s="16" t="inlineStr">
        <is>
          <t>下書き・限定公開</t>
        </is>
      </c>
      <c r="D340" s="13" t="inlineStr">
        <is>
          <t>✅</t>
        </is>
      </c>
      <c r="E340" s="16" t="inlineStr">
        <is>
          <t>公式</t>
        </is>
      </c>
      <c r="F340" s="17" t="inlineStr">
        <is>
          <t>https://help.luma.com/p/setting-your-event-visibility</t>
        </is>
      </c>
      <c r="G340" s="16" t="inlineStr">
        <is>
          <t>公開、非公開(URL限定・どのCalendarにも非掲載)、会員限定を設定できる。下書き状態は公式ヘルプで確認できず</t>
        </is>
      </c>
    </row>
    <row r="341">
      <c r="A341" s="16" t="inlineStr">
        <is>
          <t>Luma</t>
        </is>
      </c>
      <c r="B341" s="16" t="inlineStr">
        <is>
          <t>OP04</t>
        </is>
      </c>
      <c r="C341" s="16" t="inlineStr">
        <is>
          <t>AI作成支援</t>
        </is>
      </c>
      <c r="D341" s="13" t="inlineStr">
        <is>
          <t>？</t>
        </is>
      </c>
      <c r="E341" s="16" t="inlineStr">
        <is>
          <t>なし</t>
        </is>
      </c>
      <c r="F341" s="16" t="inlineStr"/>
      <c r="G341" s="16" t="inlineStr">
        <is>
          <t>AIによるイベントページ・文面・画像の生成は公式ヘルプ(creating-an-event、event-themes-and-customization)と検索で確認できず。読み取り専用のMCPサーバーはあるが作成支援ではない</t>
        </is>
      </c>
    </row>
    <row r="342">
      <c r="A342" s="16" t="inlineStr">
        <is>
          <t>Luma</t>
        </is>
      </c>
      <c r="B342" s="16" t="inlineStr">
        <is>
          <t>OP05</t>
        </is>
      </c>
      <c r="C342" s="16" t="inlineStr">
        <is>
          <t>共同主催・運営メンバー権限</t>
        </is>
      </c>
      <c r="D342" s="13" t="inlineStr">
        <is>
          <t>✅</t>
        </is>
      </c>
      <c r="E342" s="16" t="inlineStr">
        <is>
          <t>公式</t>
        </is>
      </c>
      <c r="F342" s="17" t="inlineStr">
        <is>
          <t>https://help.luma.com/p/adding-hosts-and-managers-to-your-event</t>
        </is>
      </c>
      <c r="G342" s="16" t="inlineStr">
        <is>
          <t>共同ホスト・マネージャーは無制限(Free)。Manager/非Managerの権限差あり。受付専任のcheck-inスタッフ権限はPlus限定</t>
        </is>
      </c>
    </row>
    <row r="343">
      <c r="A343" s="16" t="inlineStr">
        <is>
          <t>Luma</t>
        </is>
      </c>
      <c r="B343" s="16" t="inlineStr">
        <is>
          <t>OP06</t>
        </is>
      </c>
      <c r="C343" s="16" t="inlineStr">
        <is>
          <t>参加者管理・名簿出力</t>
        </is>
      </c>
      <c r="D343" s="13" t="inlineStr">
        <is>
          <t>✅</t>
        </is>
      </c>
      <c r="E343" s="16" t="inlineStr">
        <is>
          <t>公式</t>
        </is>
      </c>
      <c r="F343" s="17" t="inlineStr">
        <is>
          <t>https://help.luma.com/p/managing-your-guest-list</t>
        </is>
      </c>
      <c r="G343" s="16" t="inlineStr">
        <is>
          <t>ゲスト一覧の絞り込み・一括ステータス更新・CSV出力ができる(Calendar Peopleも別途CSV出力)</t>
        </is>
      </c>
    </row>
    <row r="344">
      <c r="A344" s="16" t="inlineStr">
        <is>
          <t>Luma</t>
        </is>
      </c>
      <c r="B344" s="16" t="inlineStr">
        <is>
          <t>OP07</t>
        </is>
      </c>
      <c r="C344" s="16" t="inlineStr">
        <is>
          <t>一斉メッセージ</t>
        </is>
      </c>
      <c r="D344" s="13" t="inlineStr">
        <is>
          <t>✅</t>
        </is>
      </c>
      <c r="E344" s="16" t="inlineStr">
        <is>
          <t>公式</t>
        </is>
      </c>
      <c r="F344" s="17" t="inlineStr">
        <is>
          <t>https://help.luma.com/p/sending-or-scheduling-event-blasts</t>
        </is>
      </c>
      <c r="G344" s="16" t="inlineStr">
        <is>
          <t>メール・SMS・プッシュでブラスト送信、ステータスや券種で宛先を絞れる。チャネルはゲストの通知設定次第。送信上限はFree週500件・Plus週5,000件(send-limits)</t>
        </is>
      </c>
    </row>
    <row r="345">
      <c r="A345" s="16" t="inlineStr">
        <is>
          <t>Luma</t>
        </is>
      </c>
      <c r="B345" s="16" t="inlineStr">
        <is>
          <t>OP08</t>
        </is>
      </c>
      <c r="C345" s="16" t="inlineStr">
        <is>
          <t>当日運営ツール</t>
        </is>
      </c>
      <c r="D345" s="13" t="inlineStr">
        <is>
          <t>✅</t>
        </is>
      </c>
      <c r="E345" s="16" t="inlineStr">
        <is>
          <t>公式</t>
        </is>
      </c>
      <c r="F345" s="17" t="inlineStr">
        <is>
          <t>https://help.luma.com/p/check-in</t>
        </is>
      </c>
      <c r="G345" s="16" t="inlineStr">
        <is>
          <t>QRスキャナー(Standard/Express)と名前検索、受付スタッフ権限(Plus)。外部受付システム連携とハードウェアスキャナー(Enterprise)もある</t>
        </is>
      </c>
    </row>
    <row r="346">
      <c r="A346" s="16" t="inlineStr">
        <is>
          <t>Luma</t>
        </is>
      </c>
      <c r="B346" s="16" t="inlineStr">
        <is>
          <t>OP09</t>
        </is>
      </c>
      <c r="C346" s="16" t="inlineStr">
        <is>
          <t>売上・入金管理</t>
        </is>
      </c>
      <c r="D346" s="13" t="inlineStr">
        <is>
          <t>✅</t>
        </is>
      </c>
      <c r="E346" s="16" t="inlineStr">
        <is>
          <t>公式</t>
        </is>
      </c>
      <c r="F346" s="17" t="inlineStr">
        <is>
          <t>https://help.luma.com/p/understanding-payouts-and-event-proceeds</t>
        </is>
      </c>
      <c r="G346" s="16" t="inlineStr">
        <is>
          <t>PaymentタブでSales HistoryとPayout Historyを確認。入金はStripe管理のローリングスケジュール(通常は翌営業日前後)。Instant Payoutsは自社比較ページ(luma-vs-eventbrite)の主張で、Stripe対象アカウントのみ</t>
        </is>
      </c>
    </row>
    <row r="347">
      <c r="A347" s="16" t="inlineStr">
        <is>
          <t>Luma</t>
        </is>
      </c>
      <c r="B347" s="16" t="inlineStr">
        <is>
          <t>OP10</t>
        </is>
      </c>
      <c r="C347" s="16" t="inlineStr">
        <is>
          <t>流入・申込の分析</t>
        </is>
      </c>
      <c r="D347" s="13" t="inlineStr">
        <is>
          <t>✅</t>
        </is>
      </c>
      <c r="E347" s="16" t="inlineStr">
        <is>
          <t>公式</t>
        </is>
      </c>
      <c r="F347" s="17" t="inlineStr">
        <is>
          <t>https://help.luma.com/p/event-insights</t>
        </is>
      </c>
      <c r="G347" s="16" t="inlineStr">
        <is>
          <t>ページビュー、流入元、上位都市、登録推移(アプリのみ)、紹介元をInsightsで確認できる。UTMはutm_sourceのみ表示</t>
        </is>
      </c>
    </row>
    <row r="348">
      <c r="A348" s="16" t="inlineStr">
        <is>
          <t>Luma</t>
        </is>
      </c>
      <c r="B348" s="16" t="inlineStr">
        <is>
          <t>OP11</t>
        </is>
      </c>
      <c r="C348" s="16" t="inlineStr">
        <is>
          <t>主催者ページ・グループページ</t>
        </is>
      </c>
      <c r="D348" s="13" t="inlineStr">
        <is>
          <t>✅</t>
        </is>
      </c>
      <c r="E348" s="16" t="inlineStr">
        <is>
          <t>公式</t>
        </is>
      </c>
      <c r="F348" s="17" t="inlineStr">
        <is>
          <t>https://help.luma.com/p/luma-calendar-overview</t>
        </is>
      </c>
      <c r="G348" s="16" t="inlineStr">
        <is>
          <t>Calendarごとに公開ページ(今後のイベント一覧・タグ絞り込み・地図・フォロー)を持つ。Tech Weeksはこれを都市単位で束ねる。グロース根拠あり(既存ノートで牽引機能)</t>
        </is>
      </c>
    </row>
    <row r="349">
      <c r="A349" s="16" t="inlineStr">
        <is>
          <t>Luma</t>
        </is>
      </c>
      <c r="B349" s="16" t="inlineStr">
        <is>
          <t>OP12</t>
        </is>
      </c>
      <c r="C349" s="16" t="inlineStr">
        <is>
          <t>外部ツール連携・API</t>
        </is>
      </c>
      <c r="D349" s="13" t="inlineStr">
        <is>
          <t>△</t>
        </is>
      </c>
      <c r="E349" s="16" t="inlineStr">
        <is>
          <t>公式</t>
        </is>
      </c>
      <c r="F349" s="17" t="inlineStr">
        <is>
          <t>https://help.luma.com/p/integrations</t>
        </is>
      </c>
      <c r="G349" s="16" t="inlineStr">
        <is>
          <t>Zoom・iCal・埋め込みはFree。API・Zapier・WebhooksはPlus限定、HubSpot・SalesforceはEnterprise限定(有料プラン限定の条件付き)。読み取り専用MCPサーバーあり(Google Meetはヘルプ見出しのみ確認)</t>
        </is>
      </c>
    </row>
    <row r="350">
      <c r="A350" s="16" t="inlineStr">
        <is>
          <t>Luma</t>
        </is>
      </c>
      <c r="B350" s="16" t="inlineStr">
        <is>
          <t>AC01</t>
        </is>
      </c>
      <c r="C350" s="16" t="inlineStr">
        <is>
          <t>無料イベントは無料</t>
        </is>
      </c>
      <c r="D350" s="13" t="inlineStr">
        <is>
          <t>✅</t>
        </is>
      </c>
      <c r="E350" s="16" t="inlineStr">
        <is>
          <t>公式</t>
        </is>
      </c>
      <c r="F350" s="17" t="inlineStr">
        <is>
          <t>https://luma.com/pricing</t>
        </is>
      </c>
      <c r="G350" s="16" t="inlineStr">
        <is>
          <t>Freeプランはイベント・ゲスト無制限で、手数料は有料イベントのみ(5%+Stripe)。Freeの上限は週500件の送信とCalendar管理者3名</t>
        </is>
      </c>
    </row>
    <row r="351">
      <c r="A351" s="16" t="inlineStr">
        <is>
          <t>Luma</t>
        </is>
      </c>
      <c r="B351" s="16" t="inlineStr">
        <is>
          <t>AC02</t>
        </is>
      </c>
      <c r="C351" s="16" t="inlineStr">
        <is>
          <t>手数料負担の選択</t>
        </is>
      </c>
      <c r="D351" s="13" t="inlineStr">
        <is>
          <t>❌</t>
        </is>
      </c>
      <c r="E351" s="16" t="inlineStr">
        <is>
          <t>公式</t>
        </is>
      </c>
      <c r="F351" s="17" t="inlineStr">
        <is>
          <t>https://help.luma.com/p/creating-a-paid-event</t>
        </is>
      </c>
      <c r="G351" s="16" t="inlineStr">
        <is>
          <t>「手数料を上乗せする選択肢はない」と明記。価格を引き上げて実質転嫁する方法を案内し、購入者には常に総額を提示する</t>
        </is>
      </c>
    </row>
    <row r="352">
      <c r="A352" s="16" t="inlineStr">
        <is>
          <t>Luma</t>
        </is>
      </c>
      <c r="B352" s="16" t="inlineStr">
        <is>
          <t>AC03</t>
        </is>
      </c>
      <c r="C352" s="16" t="inlineStr">
        <is>
          <t>参加者データの所有・出力</t>
        </is>
      </c>
      <c r="D352" s="13" t="inlineStr">
        <is>
          <t>✅</t>
        </is>
      </c>
      <c r="E352" s="16" t="inlineStr">
        <is>
          <t>公式</t>
        </is>
      </c>
      <c r="F352" s="17" t="inlineStr">
        <is>
          <t>https://help.luma.com/p/managing-your-guest-list</t>
        </is>
      </c>
      <c r="G352" s="16" t="inlineStr">
        <is>
          <t>ゲスト一覧のCSV出力、Calendar PeopleのCSV出力・取込ができる。ゲストは自動でPeopleに蓄積される(managing-calendar-contacts)</t>
        </is>
      </c>
    </row>
    <row r="353">
      <c r="A353" s="16" t="inlineStr">
        <is>
          <t>Luma</t>
        </is>
      </c>
      <c r="B353" s="16" t="inlineStr">
        <is>
          <t>AC04</t>
        </is>
      </c>
      <c r="C353" s="16" t="inlineStr">
        <is>
          <t>他サービスからの移行</t>
        </is>
      </c>
      <c r="D353" s="13" t="inlineStr">
        <is>
          <t>△</t>
        </is>
      </c>
      <c r="E353" s="16" t="inlineStr">
        <is>
          <t>公式</t>
        </is>
      </c>
      <c r="F353" s="17" t="inlineStr">
        <is>
          <t>https://help.luma.com/p/luma-vs-eventbrite</t>
        </is>
      </c>
      <c r="G353" s="16" t="inlineStr">
        <is>
          <t>Eventbrite・Meetup専用の自動移行はない。参加者CSVからの招待と、大量移行のサポート相談を案内(自社比較ページ。2025-06時点の記述)</t>
        </is>
      </c>
    </row>
    <row r="354">
      <c r="A354" s="16" t="inlineStr">
        <is>
          <t>Luma</t>
        </is>
      </c>
      <c r="B354" s="16" t="inlineStr">
        <is>
          <t>AC05</t>
        </is>
      </c>
      <c r="C354" s="16" t="inlineStr">
        <is>
          <t>主催者紹介・アンバサダー</t>
        </is>
      </c>
      <c r="D354" s="13" t="inlineStr">
        <is>
          <t>？</t>
        </is>
      </c>
      <c r="E354" s="16" t="inlineStr">
        <is>
          <t>なし</t>
        </is>
      </c>
      <c r="F354" s="16" t="inlineStr"/>
      <c r="G354" s="16" t="inlineStr">
        <is>
          <t>主催者紹介報酬・アフィリエイト・アンバサダー制度は公式ヘルプで確認できず。2024-02にCity Leads募集があったと既存ノートにあるが、運用上の位置づけは不明</t>
        </is>
      </c>
    </row>
    <row r="355">
      <c r="A355" s="16" t="inlineStr">
        <is>
          <t>Luma</t>
        </is>
      </c>
      <c r="B355" s="16" t="inlineStr">
        <is>
          <t>AC06</t>
        </is>
      </c>
      <c r="C355" s="16" t="inlineStr">
        <is>
          <t>主催者向け教育・テンプレ</t>
        </is>
      </c>
      <c r="D355" s="13" t="inlineStr">
        <is>
          <t>✅</t>
        </is>
      </c>
      <c r="E355" s="16" t="inlineStr">
        <is>
          <t>公式</t>
        </is>
      </c>
      <c r="F355" s="17" t="inlineStr">
        <is>
          <t>https://help.luma.com/p/case-studies</t>
        </is>
      </c>
      <c r="G355" s="16" t="inlineStr">
        <is>
          <t>ヘルプセンターの集客ガイド(promote-your-event)、ケーススタディ、非営利向け案内、他社比較ページがある</t>
        </is>
      </c>
    </row>
    <row r="356">
      <c r="A356" s="16" t="inlineStr">
        <is>
          <t>Luma</t>
        </is>
      </c>
      <c r="B356" s="16" t="inlineStr">
        <is>
          <t>AC07</t>
        </is>
      </c>
      <c r="C356" s="16" t="inlineStr">
        <is>
          <t>集客支援の商品</t>
        </is>
      </c>
      <c r="D356" s="13" t="inlineStr">
        <is>
          <t>△</t>
        </is>
      </c>
      <c r="E356" s="16" t="inlineStr">
        <is>
          <t>公式</t>
        </is>
      </c>
      <c r="F356" s="17" t="inlineStr">
        <is>
          <t>https://luma.com/pricing</t>
        </is>
      </c>
      <c r="G356" s="16" t="inlineStr">
        <is>
          <t>配信枠を増やす有料アドオン(週1万〜10万件、月$50〜$800)がある。有料掲載・広告・ブースト商品は確認できず</t>
        </is>
      </c>
    </row>
    <row r="357">
      <c r="A357" s="16" t="inlineStr">
        <is>
          <t>Luma</t>
        </is>
      </c>
      <c r="B357" s="16" t="inlineStr">
        <is>
          <t>AC08</t>
        </is>
      </c>
      <c r="C357" s="16" t="inlineStr">
        <is>
          <t>運営主催・公式イベント</t>
        </is>
      </c>
      <c r="D357" s="13" t="inlineStr">
        <is>
          <t>？</t>
        </is>
      </c>
      <c r="E357" s="16" t="inlineStr">
        <is>
          <t>なし</t>
        </is>
      </c>
      <c r="F357" s="16" t="inlineStr"/>
      <c r="G357" s="16" t="inlineStr">
        <is>
          <t>Luma自身が主催・共催する公式イベントの記載は確認できず。Tech Weeksはコミュニティ主催で、中央チームが1つのカレンダーに編成する形(tech-weeks)</t>
        </is>
      </c>
    </row>
    <row r="358">
      <c r="A358" s="16" t="inlineStr">
        <is>
          <t>Luma</t>
        </is>
      </c>
      <c r="B358" s="16" t="inlineStr">
        <is>
          <t>CR01</t>
        </is>
      </c>
      <c r="C358" s="16" t="inlineStr">
        <is>
          <t>ダイジェスト・おすすめ通知</t>
        </is>
      </c>
      <c r="D358" s="13" t="inlineStr">
        <is>
          <t>✅</t>
        </is>
      </c>
      <c r="E358" s="16" t="inlineStr">
        <is>
          <t>公式</t>
        </is>
      </c>
      <c r="F358" s="17" t="inlineStr">
        <is>
          <t>https://help.luma.com/p/discovering-events</t>
        </is>
      </c>
      <c r="G358" s="16" t="inlineStr">
        <is>
          <t>都市を購読すると毎週日曜夜に翌週のイベント予習メールが届く。購読カテゴリはフィードに反映される</t>
        </is>
      </c>
    </row>
    <row r="359">
      <c r="A359" s="16" t="inlineStr">
        <is>
          <t>Luma</t>
        </is>
      </c>
      <c r="B359" s="16" t="inlineStr">
        <is>
          <t>CR02</t>
        </is>
      </c>
      <c r="C359" s="16" t="inlineStr">
        <is>
          <t>自動メンバー化</t>
        </is>
      </c>
      <c r="D359" s="13" t="inlineStr">
        <is>
          <t>✅</t>
        </is>
      </c>
      <c r="E359" s="16" t="inlineStr">
        <is>
          <t>公式</t>
        </is>
      </c>
      <c r="F359" s="17" t="inlineStr">
        <is>
          <t>https://help.luma.com/p/managing-calendar-contacts</t>
        </is>
      </c>
      <c r="G359" s="16" t="inlineStr">
        <is>
          <t>イベント登録・Followした人は自動でCalendarのPeopleに追加され、ニュースレターや招待の対象になる</t>
        </is>
      </c>
    </row>
    <row r="360">
      <c r="A360" s="16" t="inlineStr">
        <is>
          <t>Luma</t>
        </is>
      </c>
      <c r="B360" s="16" t="inlineStr">
        <is>
          <t>CR03</t>
        </is>
      </c>
      <c r="C360" s="16" t="inlineStr">
        <is>
          <t>前回参加者への優先案内</t>
        </is>
      </c>
      <c r="D360" s="13" t="inlineStr">
        <is>
          <t>△</t>
        </is>
      </c>
      <c r="E360" s="16" t="inlineStr">
        <is>
          <t>公式</t>
        </is>
      </c>
      <c r="F360" s="17" t="inlineStr">
        <is>
          <t>https://help.luma.com/p/unlock-codes</t>
        </is>
      </c>
      <c r="G360" s="16" t="inlineStr">
        <is>
          <t>隠しチケットとアンロックコードで特定の人に限定販売でき、Peopleやタグ単位で招待できる。過去参加者への自動の優先案内は未確認</t>
        </is>
      </c>
    </row>
    <row r="361">
      <c r="A361" s="16" t="inlineStr">
        <is>
          <t>Luma</t>
        </is>
      </c>
      <c r="B361" s="16" t="inlineStr">
        <is>
          <t>CR04</t>
        </is>
      </c>
      <c r="C361" s="16" t="inlineStr">
        <is>
          <t>主催者CRM・購読者リスト</t>
        </is>
      </c>
      <c r="D361" s="13" t="inlineStr">
        <is>
          <t>✅</t>
        </is>
      </c>
      <c r="E361" s="16" t="inlineStr">
        <is>
          <t>公式</t>
        </is>
      </c>
      <c r="F361" s="17" t="inlineStr">
        <is>
          <t>https://help.luma.com/p/managing-calendar-contacts</t>
        </is>
      </c>
      <c r="G361" s="16" t="inlineStr">
        <is>
          <t>Peopleにタグ・会員ティアを付けてセグメント配信できる。CSV取込、参加回数での並べ替えも可。HubSpot・SalesforceはEnterprise</t>
        </is>
      </c>
    </row>
    <row r="362">
      <c r="A362" s="16" t="inlineStr">
        <is>
          <t>Luma</t>
        </is>
      </c>
      <c r="B362" s="16" t="inlineStr">
        <is>
          <t>CR05</t>
        </is>
      </c>
      <c r="C362" s="16" t="inlineStr">
        <is>
          <t>参加履歴・バッジ・実績</t>
        </is>
      </c>
      <c r="D362" s="13" t="inlineStr">
        <is>
          <t>△</t>
        </is>
      </c>
      <c r="E362" s="16" t="inlineStr">
        <is>
          <t>公式</t>
        </is>
      </c>
      <c r="F362" s="17" t="inlineStr">
        <is>
          <t>https://help.luma.com/p/managing-calendar-contacts</t>
        </is>
      </c>
      <c r="G362" s="16" t="inlineStr">
        <is>
          <t>ホスト側のPeopleで参加回数・チェックイン回数を確認できる。ゲスト向けのバッジ・実績表示は確認できず(プロフィールは自己紹介とSNSのみ=managing-your-profile)</t>
        </is>
      </c>
    </row>
    <row r="363">
      <c r="A363" s="16" t="inlineStr">
        <is>
          <t>Luma</t>
        </is>
      </c>
      <c r="B363" s="16" t="inlineStr">
        <is>
          <t>CR06</t>
        </is>
      </c>
      <c r="C363" s="16" t="inlineStr">
        <is>
          <t>レビュー・評価</t>
        </is>
      </c>
      <c r="D363" s="13" t="inlineStr">
        <is>
          <t>△</t>
        </is>
      </c>
      <c r="E363" s="16" t="inlineStr">
        <is>
          <t>公式</t>
        </is>
      </c>
      <c r="F363" s="17" t="inlineStr">
        <is>
          <t>https://help.luma.com/p/collect-feedback-from-your-event-guests</t>
        </is>
      </c>
      <c r="G363" s="16" t="inlineStr">
        <is>
          <t>参加後の絵文字評価とコメントを主催者が収集する。ホストだけが閲覧でき、公開レビュー・店舗評価はない</t>
        </is>
      </c>
    </row>
    <row r="364">
      <c r="A364" s="16" t="inlineStr">
        <is>
          <t>Luma</t>
        </is>
      </c>
      <c r="B364" s="16" t="inlineStr">
        <is>
          <t>CR07</t>
        </is>
      </c>
      <c r="C364" s="16" t="inlineStr">
        <is>
          <t>グループチャット・掲示板</t>
        </is>
      </c>
      <c r="D364" s="13" t="inlineStr">
        <is>
          <t>✅</t>
        </is>
      </c>
      <c r="E364" s="16" t="inlineStr">
        <is>
          <t>公式</t>
        </is>
      </c>
      <c r="F364" s="17" t="inlineStr">
        <is>
          <t>https://help.luma.com/p/event-chat</t>
        </is>
      </c>
      <c r="G364" s="16" t="inlineStr">
        <is>
          <t>イベントチャット(アプリから開始、承認ゲストを自動追加)、ダイレクトメッセージ、グループチャットがある(chat)</t>
        </is>
      </c>
    </row>
    <row r="365">
      <c r="A365" s="16" t="inlineStr">
        <is>
          <t>Luma</t>
        </is>
      </c>
      <c r="B365" s="16" t="inlineStr">
        <is>
          <t>CR08</t>
        </is>
      </c>
      <c r="C365" s="16" t="inlineStr">
        <is>
          <t>年間まとめ・振り返り共有</t>
        </is>
      </c>
      <c r="D365" s="13" t="inlineStr">
        <is>
          <t>？</t>
        </is>
      </c>
      <c r="E365" s="16" t="inlineStr">
        <is>
          <t>なし</t>
        </is>
      </c>
      <c r="F365" s="16" t="inlineStr"/>
      <c r="G365" s="16" t="inlineStr">
        <is>
          <t>Wrapped型の振り返り機能は公式ページ・ヘルプ・検索で確認できず(「Luma Wrapped」系の検索は無関係の結果のみ)。2026-10確認</t>
        </is>
      </c>
    </row>
    <row r="366">
      <c r="A366" s="16" t="inlineStr">
        <is>
          <t>Luma</t>
        </is>
      </c>
      <c r="B366" s="16" t="inlineStr">
        <is>
          <t>TS01</t>
        </is>
      </c>
      <c r="C366" s="16" t="inlineStr">
        <is>
          <t>本人確認・認証</t>
        </is>
      </c>
      <c r="D366" s="13" t="inlineStr">
        <is>
          <t>△</t>
        </is>
      </c>
      <c r="E366" s="16" t="inlineStr">
        <is>
          <t>公式</t>
        </is>
      </c>
      <c r="F366" s="17" t="inlineStr">
        <is>
          <t>https://help.luma.com/p/signing-in</t>
        </is>
      </c>
      <c r="G366" s="16" t="inlineStr">
        <is>
          <t>メール・電話のコード認証でログイン(電話は任意)。実名・ID確認は必須でなく、アカウント審査の異議申立て時に任意で本人確認できる程度</t>
        </is>
      </c>
    </row>
    <row r="367">
      <c r="A367" s="16" t="inlineStr">
        <is>
          <t>Luma</t>
        </is>
      </c>
      <c r="B367" s="16" t="inlineStr">
        <is>
          <t>TS02</t>
        </is>
      </c>
      <c r="C367" s="16" t="inlineStr">
        <is>
          <t>主催者の審査・認定</t>
        </is>
      </c>
      <c r="D367" s="13" t="inlineStr">
        <is>
          <t>△</t>
        </is>
      </c>
      <c r="E367" s="16" t="inlineStr">
        <is>
          <t>公式</t>
        </is>
      </c>
      <c r="F367" s="17" t="inlineStr">
        <is>
          <t>https://help.luma.com/p/send-limits</t>
        </is>
      </c>
      <c r="G367" s="16" t="inlineStr">
        <is>
          <t>Calendar検証(イベントと連絡先リストの説明を提出)で送信上限が週15件から500・5,000件へ段階的に開放される。認定バッジは確認できず</t>
        </is>
      </c>
    </row>
    <row r="368">
      <c r="A368" s="16" t="inlineStr">
        <is>
          <t>Luma</t>
        </is>
      </c>
      <c r="B368" s="16" t="inlineStr">
        <is>
          <t>TS03</t>
        </is>
      </c>
      <c r="C368" s="16" t="inlineStr">
        <is>
          <t>通報・ブロック・モデレーション</t>
        </is>
      </c>
      <c r="D368" s="13" t="inlineStr">
        <is>
          <t>✅</t>
        </is>
      </c>
      <c r="E368" s="16" t="inlineStr">
        <is>
          <t>公式</t>
        </is>
      </c>
      <c r="F368" s="17" t="inlineStr">
        <is>
          <t>https://help.luma.com/p/blocking-users</t>
        </is>
      </c>
      <c r="G368" s="16" t="inlineStr">
        <is>
          <t>ユーザーのブロック、イベントページのReport Eventリンク(実ページで確認)、自動検知とアカウント審査・停止(account-review-and-appeals)がある</t>
        </is>
      </c>
    </row>
    <row r="369">
      <c r="A369" s="16" t="inlineStr">
        <is>
          <t>Luma</t>
        </is>
      </c>
      <c r="B369" s="16" t="inlineStr">
        <is>
          <t>TS04</t>
        </is>
      </c>
      <c r="C369" s="16" t="inlineStr">
        <is>
          <t>ドタキャン対策</t>
        </is>
      </c>
      <c r="D369" s="13" t="inlineStr">
        <is>
          <t>✅</t>
        </is>
      </c>
      <c r="E369" s="16" t="inlineStr">
        <is>
          <t>公式</t>
        </is>
      </c>
      <c r="F369" s="17" t="inlineStr">
        <is>
          <t>https://help.luma.com/p/refunding-a-guest</t>
        </is>
      </c>
      <c r="G369" s="16" t="inlineStr">
        <is>
          <t>有料チケットの事前決済、Calendar単位の返金ポリシー表示(自動返金なし)、承認制での与信保留。欠席料・デポジットは確認できず</t>
        </is>
      </c>
    </row>
    <row r="370">
      <c r="A370" s="16" t="inlineStr">
        <is>
          <t>Luma</t>
        </is>
      </c>
      <c r="B370" s="16" t="inlineStr">
        <is>
          <t>TS05</t>
        </is>
      </c>
      <c r="C370" s="16" t="inlineStr">
        <is>
          <t>参加者情報の保護</t>
        </is>
      </c>
      <c r="D370" s="13" t="inlineStr">
        <is>
          <t>✅</t>
        </is>
      </c>
      <c r="E370" s="16" t="inlineStr">
        <is>
          <t>公式</t>
        </is>
      </c>
      <c r="F370" s="17" t="inlineStr">
        <is>
          <t>https://help.luma.com/p/event-guest-list</t>
        </is>
      </c>
      <c r="G370" s="16" t="inlineStr">
        <is>
          <t>ゲスト一覧の非表示が可能でメールアドレスは常に非表示。承認前は詳細な会場住所を隠せる(hiding-your-event-location)</t>
        </is>
      </c>
    </row>
    <row r="371">
      <c r="A371" s="16" t="inlineStr">
        <is>
          <t>Luma</t>
        </is>
      </c>
      <c r="B371" s="16" t="inlineStr">
        <is>
          <t>TS06</t>
        </is>
      </c>
      <c r="C371" s="16" t="inlineStr">
        <is>
          <t>直接取引の抑止</t>
        </is>
      </c>
      <c r="D371" s="13" t="inlineStr">
        <is>
          <t>△</t>
        </is>
      </c>
      <c r="E371" s="16" t="inlineStr">
        <is>
          <t>公式</t>
        </is>
      </c>
      <c r="F371" s="17" t="inlineStr">
        <is>
          <t>https://help.luma.com/p/featuring-your-event-on-luma</t>
        </is>
      </c>
      <c r="G371" s="16" t="inlineStr">
        <is>
          <t>都市ページへの掲載は、登録が全てLuma上で完結する公開イベントに限る。一般的な外部取引の禁止規約は確認できず</t>
        </is>
      </c>
    </row>
    <row r="372">
      <c r="A372" s="16" t="inlineStr">
        <is>
          <t>Luma</t>
        </is>
      </c>
      <c r="B372" s="16" t="inlineStr">
        <is>
          <t>FD01</t>
        </is>
      </c>
      <c r="C372" s="16" t="inlineStr">
        <is>
          <t>メニューの事前注文・選択</t>
        </is>
      </c>
      <c r="D372" s="13" t="inlineStr">
        <is>
          <t>△</t>
        </is>
      </c>
      <c r="E372" s="16" t="inlineStr">
        <is>
          <t>公式</t>
        </is>
      </c>
      <c r="F372" s="17" t="inlineStr">
        <is>
          <t>https://help.luma.com/p/collect-registration-questions</t>
        </is>
      </c>
      <c r="G372" s="16" t="inlineStr">
        <is>
          <t>メニュー注文機能はない。選択式の登録質問や券種で希望を聞くことはできる</t>
        </is>
      </c>
    </row>
    <row r="373">
      <c r="A373" s="16" t="inlineStr">
        <is>
          <t>Luma</t>
        </is>
      </c>
      <c r="B373" s="16" t="inlineStr">
        <is>
          <t>FD02</t>
        </is>
      </c>
      <c r="C373" s="16" t="inlineStr">
        <is>
          <t>アレルギー・食の好みの登録</t>
        </is>
      </c>
      <c r="D373" s="13" t="inlineStr">
        <is>
          <t>△</t>
        </is>
      </c>
      <c r="E373" s="16" t="inlineStr">
        <is>
          <t>公式</t>
        </is>
      </c>
      <c r="F373" s="17" t="inlineStr">
        <is>
          <t>https://help.luma.com/p/collect-registration-questions</t>
        </is>
      </c>
      <c r="G373" s="16" t="inlineStr">
        <is>
          <t>専用のアレルギー登録はない。汎用の登録質問で食事制限を聞き、ゲスト一覧・CSVでホストが確認できる</t>
        </is>
      </c>
    </row>
    <row r="374">
      <c r="A374" s="16" t="inlineStr">
        <is>
          <t>Luma</t>
        </is>
      </c>
      <c r="B374" s="16" t="inlineStr">
        <is>
          <t>FD03</t>
        </is>
      </c>
      <c r="C374" s="16" t="inlineStr">
        <is>
          <t>店舗向け管理画面</t>
        </is>
      </c>
      <c r="D374" s="13" t="inlineStr">
        <is>
          <t>？</t>
        </is>
      </c>
      <c r="E374" s="16" t="inlineStr">
        <is>
          <t>なし</t>
        </is>
      </c>
      <c r="F374" s="16" t="inlineStr"/>
      <c r="G374" s="16" t="inlineStr">
        <is>
          <t>店舗向けの管理画面は確認できず(イベント主催者向けの機能のみ。非対応の明記もない)</t>
        </is>
      </c>
    </row>
    <row r="375">
      <c r="A375" s="16" t="inlineStr">
        <is>
          <t>Luma</t>
        </is>
      </c>
      <c r="B375" s="16" t="inlineStr">
        <is>
          <t>FD04</t>
        </is>
      </c>
      <c r="C375" s="16" t="inlineStr">
        <is>
          <t>人数確定の店舗通知・集計</t>
        </is>
      </c>
      <c r="D375" s="13" t="inlineStr">
        <is>
          <t>？</t>
        </is>
      </c>
      <c r="E375" s="16" t="inlineStr">
        <is>
          <t>なし</t>
        </is>
      </c>
      <c r="F375" s="16" t="inlineStr"/>
      <c r="G375" s="16" t="inlineStr">
        <is>
          <t>人数・注文を店舗へ自動通知・集計する機能は確認できず</t>
        </is>
      </c>
    </row>
    <row r="376">
      <c r="A376" s="16" t="inlineStr">
        <is>
          <t>Luma</t>
        </is>
      </c>
      <c r="B376" s="16" t="inlineStr">
        <is>
          <t>FD05</t>
        </is>
      </c>
      <c r="C376" s="16" t="inlineStr">
        <is>
          <t>席の確保・貸切の連携</t>
        </is>
      </c>
      <c r="D376" s="13" t="inlineStr">
        <is>
          <t>？</t>
        </is>
      </c>
      <c r="E376" s="16" t="inlineStr">
        <is>
          <t>なし</t>
        </is>
      </c>
      <c r="F376" s="16" t="inlineStr"/>
      <c r="G376" s="16" t="inlineStr">
        <is>
          <t>店舗の席・貸切の確保と連動する機能は確認できず</t>
        </is>
      </c>
    </row>
    <row r="377">
      <c r="A377" s="16" t="inlineStr">
        <is>
          <t>Luma</t>
        </is>
      </c>
      <c r="B377" s="16" t="inlineStr">
        <is>
          <t>FD06</t>
        </is>
      </c>
      <c r="C377" s="16" t="inlineStr">
        <is>
          <t>コース・固定メニュー</t>
        </is>
      </c>
      <c r="D377" s="13" t="inlineStr">
        <is>
          <t>？</t>
        </is>
      </c>
      <c r="E377" s="16" t="inlineStr">
        <is>
          <t>なし</t>
        </is>
      </c>
      <c r="F377" s="16" t="inlineStr"/>
      <c r="G377" s="16" t="inlineStr">
        <is>
          <t>コース・固定メニューを選ばせる専用機能は確認できず(券種で代用は可能だが機能としての記載なし)</t>
        </is>
      </c>
    </row>
    <row r="378">
      <c r="A378" s="16" t="inlineStr">
        <is>
          <t>Luma</t>
        </is>
      </c>
      <c r="B378" s="16" t="inlineStr">
        <is>
          <t>FD07</t>
        </is>
      </c>
      <c r="C378" s="16" t="inlineStr">
        <is>
          <t>割り勘・個別会計</t>
        </is>
      </c>
      <c r="D378" s="13" t="inlineStr">
        <is>
          <t>？</t>
        </is>
      </c>
      <c r="E378" s="16" t="inlineStr">
        <is>
          <t>なし</t>
        </is>
      </c>
      <c r="F378" s="16" t="inlineStr"/>
      <c r="G378" s="16" t="inlineStr">
        <is>
          <t>割り勘・個別会計の機能は確認できず</t>
        </is>
      </c>
    </row>
    <row r="379">
      <c r="A379" s="16" t="inlineStr">
        <is>
          <t>Luma</t>
        </is>
      </c>
      <c r="B379" s="16" t="inlineStr">
        <is>
          <t>FD08</t>
        </is>
      </c>
      <c r="C379" s="16" t="inlineStr">
        <is>
          <t>店探し・店選び支援</t>
        </is>
      </c>
      <c r="D379" s="13" t="inlineStr">
        <is>
          <t>？</t>
        </is>
      </c>
      <c r="E379" s="16" t="inlineStr">
        <is>
          <t>なし</t>
        </is>
      </c>
      <c r="F379" s="16" t="inlineStr"/>
      <c r="G379" s="16" t="inlineStr">
        <is>
          <t>店探し・店選びを支援する機能は確認できず</t>
        </is>
      </c>
    </row>
    <row r="380">
      <c r="A380" s="16" t="inlineStr">
        <is>
          <t>Luma</t>
        </is>
      </c>
      <c r="B380" s="16" t="inlineStr">
        <is>
          <t>FD09</t>
        </is>
      </c>
      <c r="C380" s="16" t="inlineStr">
        <is>
          <t>売り切れ・限定数の管理</t>
        </is>
      </c>
      <c r="D380" s="13" t="inlineStr">
        <is>
          <t>△</t>
        </is>
      </c>
      <c r="E380" s="16" t="inlineStr">
        <is>
          <t>公式</t>
        </is>
      </c>
      <c r="F380" s="17" t="inlineStr">
        <is>
          <t>https://help.luma.com/p/setting-up-ticket-types</t>
        </is>
      </c>
      <c r="G380" s="16" t="inlineStr">
        <is>
          <t>券種ごとの枚数上限と売り切れ表示はある。メニュー(料理)単位の在庫・限定数管理は確認できず</t>
        </is>
      </c>
    </row>
    <row r="381">
      <c r="A381" s="16" t="inlineStr">
        <is>
          <t>Luma</t>
        </is>
      </c>
      <c r="B381" s="16" t="inlineStr">
        <is>
          <t>FD10</t>
        </is>
      </c>
      <c r="C381" s="16" t="inlineStr">
        <is>
          <t>提供形態の選択</t>
        </is>
      </c>
      <c r="D381" s="13" t="inlineStr">
        <is>
          <t>？</t>
        </is>
      </c>
      <c r="E381" s="16" t="inlineStr">
        <is>
          <t>なし</t>
        </is>
      </c>
      <c r="F381" s="16" t="inlineStr"/>
      <c r="G381" s="16" t="inlineStr">
        <is>
          <t>イートイン・テイクアウト等の提供形態を選ぶ機能は確認できず(イベント形式のIn-Person/Online/Hybridのみ=creating-an-event)</t>
        </is>
      </c>
    </row>
    <row r="382">
      <c r="A382" s="16" t="inlineStr">
        <is>
          <t>Luma</t>
        </is>
      </c>
      <c r="B382" s="16" t="inlineStr">
        <is>
          <t>MN01</t>
        </is>
      </c>
      <c r="C382" s="16" t="inlineStr">
        <is>
          <t>手数料の明示</t>
        </is>
      </c>
      <c r="D382" s="13" t="inlineStr">
        <is>
          <t>✅</t>
        </is>
      </c>
      <c r="E382" s="16" t="inlineStr">
        <is>
          <t>公式</t>
        </is>
      </c>
      <c r="F382" s="17" t="inlineStr">
        <is>
          <t>https://luma.com/pricing</t>
        </is>
      </c>
      <c r="G382" s="16" t="inlineStr">
        <is>
          <t>有料イベントはFreeが5%+Stripe手数料、Plusが0%+Stripe。購入者には総額を事前表示(creating-a-paid-event)。グロース根拠あり(牽引機能として既存ノート)</t>
        </is>
      </c>
    </row>
    <row r="383">
      <c r="A383" s="16" t="inlineStr">
        <is>
          <t>Luma</t>
        </is>
      </c>
      <c r="B383" s="16" t="inlineStr">
        <is>
          <t>MN02</t>
        </is>
      </c>
      <c r="C383" s="16" t="inlineStr">
        <is>
          <t>主催者向け有料プラン</t>
        </is>
      </c>
      <c r="D383" s="13" t="inlineStr">
        <is>
          <t>✅</t>
        </is>
      </c>
      <c r="E383" s="16" t="inlineStr">
        <is>
          <t>公式</t>
        </is>
      </c>
      <c r="F383" s="17" t="inlineStr">
        <is>
          <t>https://luma.com/pricing</t>
        </is>
      </c>
      <c r="G383" s="16" t="inlineStr">
        <is>
          <t>Luma Plus 月$59(年払い)。API・Zapier・カスタムURL・税徴収・check-inスタッフ等。Enterpriseは別途見積。グロース根拠あり(既存ノート)</t>
        </is>
      </c>
    </row>
    <row r="384">
      <c r="A384" s="16" t="inlineStr">
        <is>
          <t>Luma</t>
        </is>
      </c>
      <c r="B384" s="16" t="inlineStr">
        <is>
          <t>MN03</t>
        </is>
      </c>
      <c r="C384" s="16" t="inlineStr">
        <is>
          <t>任意チップ・寄付</t>
        </is>
      </c>
      <c r="D384" s="13" t="inlineStr">
        <is>
          <t>△</t>
        </is>
      </c>
      <c r="E384" s="16" t="inlineStr">
        <is>
          <t>公式</t>
        </is>
      </c>
      <c r="F384" s="17" t="inlineStr">
        <is>
          <t>https://help.luma.com/p/setting-up-ticket-types</t>
        </is>
      </c>
      <c r="G384" s="16" t="inlineStr">
        <is>
          <t>最低額と推奨額を設定でき、寄付型の価格(無料登録も可)に対応。購入への任意チップの上乗せ機能は確認できず</t>
        </is>
      </c>
    </row>
    <row r="385">
      <c r="A385" s="16" t="inlineStr">
        <is>
          <t>Luma</t>
        </is>
      </c>
      <c r="B385" s="16" t="inlineStr">
        <is>
          <t>MN04</t>
        </is>
      </c>
      <c r="C385" s="16" t="inlineStr">
        <is>
          <t>クーポン・割引コード</t>
        </is>
      </c>
      <c r="D385" s="13" t="inlineStr">
        <is>
          <t>✅</t>
        </is>
      </c>
      <c r="E385" s="16" t="inlineStr">
        <is>
          <t>公式</t>
        </is>
      </c>
      <c r="F385" s="17" t="inlineStr">
        <is>
          <t>https://help.luma.com/p/create-coupons-for-paid-events</t>
        </is>
      </c>
      <c r="G385" s="16" t="inlineStr">
        <is>
          <t>クーポン(無料・割合・定額、利用回数上限、リンクで自動適用)と販売期間(早割。setting-up-ticket-types)。CSV一括取込はPlus</t>
        </is>
      </c>
    </row>
    <row r="386">
      <c r="A386" s="16" t="inlineStr">
        <is>
          <t>Luma</t>
        </is>
      </c>
      <c r="B386" s="16" t="inlineStr">
        <is>
          <t>MN05</t>
        </is>
      </c>
      <c r="C386" s="16" t="inlineStr">
        <is>
          <t>ポイント・会員特典</t>
        </is>
      </c>
      <c r="D386" s="13" t="inlineStr">
        <is>
          <t>△</t>
        </is>
      </c>
      <c r="E386" s="16" t="inlineStr">
        <is>
          <t>公式</t>
        </is>
      </c>
      <c r="F386" s="17" t="inlineStr">
        <is>
          <t>https://help.luma.com/p/calendar-memberships</t>
        </is>
      </c>
      <c r="G386" s="16" t="inlineStr">
        <is>
          <t>ホスト単位の会員制度(無料・月額・買い切り)で会員限定のイベント・チケット・ニュースレターを出せる。プラットフォーム共通のポイント・特典は確認できず</t>
        </is>
      </c>
    </row>
    <row r="387">
      <c r="A387" s="16" t="inlineStr">
        <is>
          <t>Partiful</t>
        </is>
      </c>
      <c r="B387" s="16" t="inlineStr">
        <is>
          <t>DS01</t>
        </is>
      </c>
      <c r="C387" s="16" t="inlineStr">
        <is>
          <t>キーワード・カテゴリ検索</t>
        </is>
      </c>
      <c r="D387" s="13" t="inlineStr">
        <is>
          <t>？</t>
        </is>
      </c>
      <c r="E387" s="16" t="inlineStr">
        <is>
          <t>なし</t>
        </is>
      </c>
      <c r="F387" s="16" t="inlineStr"/>
      <c r="G387" s="16" t="inlineStr">
        <is>
          <t>ExploreとDiscoverのページに検索窓・絞り込みは確認できず、ヘルプ(How do I find events to go to)にも検索の記載なし</t>
        </is>
      </c>
    </row>
    <row r="388">
      <c r="A388" s="16" t="inlineStr">
        <is>
          <t>Partiful</t>
        </is>
      </c>
      <c r="B388" s="16" t="inlineStr">
        <is>
          <t>DS02</t>
        </is>
      </c>
      <c r="C388" s="16" t="inlineStr">
        <is>
          <t>地域・地図検索</t>
        </is>
      </c>
      <c r="D388" s="13" t="inlineStr">
        <is>
          <t>△</t>
        </is>
      </c>
      <c r="E388" s="16" t="inlineStr">
        <is>
          <t>公式</t>
        </is>
      </c>
      <c r="F388" s="17" t="inlineStr">
        <is>
          <t>https://help.partiful.com/en-us/articles/15525566-how-can-i-change-my-location-for-the-partiful-explore-page</t>
        </is>
      </c>
      <c r="G388" s="16" t="inlineStr">
        <is>
          <t>Exploreの都市ページは米英9都市(NYC・LA・SF・Boston・DC・Chicago・London・Miami・Austin。2026-10)で、My locationで都市を指定できる(地域限定)。現在地の自動検出と地図は未確認</t>
        </is>
      </c>
    </row>
    <row r="389">
      <c r="A389" s="16" t="inlineStr">
        <is>
          <t>Partiful</t>
        </is>
      </c>
      <c r="B389" s="16" t="inlineStr">
        <is>
          <t>DS03</t>
        </is>
      </c>
      <c r="C389" s="16" t="inlineStr">
        <is>
          <t>日付・価格等の絞り込み</t>
        </is>
      </c>
      <c r="D389" s="13" t="inlineStr">
        <is>
          <t>？</t>
        </is>
      </c>
      <c r="E389" s="16" t="inlineStr">
        <is>
          <t>なし</t>
        </is>
      </c>
      <c r="F389" s="16" t="inlineStr"/>
      <c r="G389" s="16" t="inlineStr">
        <is>
          <t>日付・価格・カテゴリでの絞り込みは公式ページ・ヘルプで確認できず</t>
        </is>
      </c>
    </row>
    <row r="390">
      <c r="A390" s="16" t="inlineStr">
        <is>
          <t>Partiful</t>
        </is>
      </c>
      <c r="B390" s="16" t="inlineStr">
        <is>
          <t>DS04</t>
        </is>
      </c>
      <c r="C390" s="16" t="inlineStr">
        <is>
          <t>パーソナライズ推薦</t>
        </is>
      </c>
      <c r="D390" s="13" t="inlineStr">
        <is>
          <t>△</t>
        </is>
      </c>
      <c r="E390" s="16" t="inlineStr">
        <is>
          <t>公式</t>
        </is>
      </c>
      <c r="F390" s="17" t="inlineStr">
        <is>
          <t>https://help.partiful.com/en-us/articles/15525568-what-is-the-partiful-explore-page</t>
        </is>
      </c>
      <c r="G390" s="16" t="inlineStr">
        <is>
          <t>Exploreが地域の公開イベントと友人(Mutuals)の参加予定を表示する。個人の興味・履歴に基づく推薦アルゴリズムの公式記述は確認できず</t>
        </is>
      </c>
    </row>
    <row r="391">
      <c r="A391" s="16" t="inlineStr">
        <is>
          <t>Partiful</t>
        </is>
      </c>
      <c r="B391" s="16" t="inlineStr">
        <is>
          <t>DS05</t>
        </is>
      </c>
      <c r="C391" s="16" t="inlineStr">
        <is>
          <t>フォロー</t>
        </is>
      </c>
      <c r="D391" s="13" t="inlineStr">
        <is>
          <t>？</t>
        </is>
      </c>
      <c r="E391" s="16" t="inlineStr">
        <is>
          <t>なし</t>
        </is>
      </c>
      <c r="F391" s="16" t="inlineStr"/>
      <c r="G391" s="16" t="inlineStr">
        <is>
          <t>主催者・組織・会場のフォロー機能は公式ヘルプで確認できず(Mutualsを通じて公開イベントの友人参加が見える)</t>
        </is>
      </c>
    </row>
    <row r="392">
      <c r="A392" s="16" t="inlineStr">
        <is>
          <t>Partiful</t>
        </is>
      </c>
      <c r="B392" s="16" t="inlineStr">
        <is>
          <t>DS06</t>
        </is>
      </c>
      <c r="C392" s="16" t="inlineStr">
        <is>
          <t>ブックマーク・ウィッシュリスト</t>
        </is>
      </c>
      <c r="D392" s="13" t="inlineStr">
        <is>
          <t>✅</t>
        </is>
      </c>
      <c r="E392" s="16" t="inlineStr">
        <is>
          <t>公式</t>
        </is>
      </c>
      <c r="F392" s="17" t="inlineStr">
        <is>
          <t>https://help.partiful.com/en-us/articles/15525563-what-is-a-public-event</t>
        </is>
      </c>
      <c r="G392" s="16" t="inlineStr">
        <is>
          <t>公開イベントでInterestedにすると保存でき、自動リマインドの対象になる</t>
        </is>
      </c>
    </row>
    <row r="393">
      <c r="A393" s="16" t="inlineStr">
        <is>
          <t>Partiful</t>
        </is>
      </c>
      <c r="B393" s="16" t="inlineStr">
        <is>
          <t>DS07</t>
        </is>
      </c>
      <c r="C393" s="16" t="inlineStr">
        <is>
          <t>公開ディレクトリ・都市×カテゴリページ</t>
        </is>
      </c>
      <c r="D393" s="13" t="inlineStr">
        <is>
          <t>△</t>
        </is>
      </c>
      <c r="E393" s="16" t="inlineStr">
        <is>
          <t>公式</t>
        </is>
      </c>
      <c r="F393" s="17" t="inlineStr">
        <is>
          <t>https://help.partiful.com/en-us/articles/15525563-what-is-a-public-event</t>
        </is>
      </c>
      <c r="G393" s="16" t="inlineStr">
        <is>
          <t>公開イベントは検索エンジンにクロールされ、都市別Exploreページ(partiful.com/explore/nyc等)が公開されている。ただし都市ページは米英9都市のみ(地域限定)。SEO設計の意図は未確認</t>
        </is>
      </c>
    </row>
    <row r="394">
      <c r="A394" s="16" t="inlineStr">
        <is>
          <t>Partiful</t>
        </is>
      </c>
      <c r="B394" s="16" t="inlineStr">
        <is>
          <t>DS08</t>
        </is>
      </c>
      <c r="C394" s="16" t="inlineStr">
        <is>
          <t>キュレーション・特集</t>
        </is>
      </c>
      <c r="D394" s="13" t="inlineStr">
        <is>
          <t>✅</t>
        </is>
      </c>
      <c r="E394" s="16" t="inlineStr">
        <is>
          <t>公式</t>
        </is>
      </c>
      <c r="F394" s="17" t="inlineStr">
        <is>
          <t>https://partiful.com/blog/post/heres-how-to-actually-grow-your-audience</t>
        </is>
      </c>
      <c r="G394" s="16" t="inlineStr">
        <is>
          <t>公開イベントを編集チームが審査して選定する(2026-10公式ブログ)。提出トグルあり。グロース根拠あり(Discoverの手作業キュレーションとして既存ノート)</t>
        </is>
      </c>
    </row>
    <row r="395">
      <c r="A395" s="16" t="inlineStr">
        <is>
          <t>Partiful</t>
        </is>
      </c>
      <c r="B395" s="16" t="inlineStr">
        <is>
          <t>JN01</t>
        </is>
      </c>
      <c r="C395" s="16" t="inlineStr">
        <is>
          <t>アカウント不要の申込</t>
        </is>
      </c>
      <c r="D395" s="13" t="inlineStr">
        <is>
          <t>△</t>
        </is>
      </c>
      <c r="E395" s="16" t="inlineStr">
        <is>
          <t>公式</t>
        </is>
      </c>
      <c r="F395" s="17" t="inlineStr">
        <is>
          <t>https://help.partiful.com/en-us/articles/15525328-do-my-guests-need-to-download-the-app</t>
        </is>
      </c>
      <c r="G395" s="16" t="inlineStr">
        <is>
          <t>アプリは不要でブラウザからRSVPできる(公式)。アカウント要否は公式に明記なく、二次情報では認証済み電話番号が必要とされる(既存ノート03)。グロース根拠あり(アカウント不要RSVP+SMSとして既存ノート)</t>
        </is>
      </c>
    </row>
    <row r="396">
      <c r="A396" s="16" t="inlineStr">
        <is>
          <t>Partiful</t>
        </is>
      </c>
      <c r="B396" s="16" t="inlineStr">
        <is>
          <t>JN02</t>
        </is>
      </c>
      <c r="C396" s="16" t="inlineStr">
        <is>
          <t>簡易ログイン</t>
        </is>
      </c>
      <c r="D396" s="13" t="inlineStr">
        <is>
          <t>✅</t>
        </is>
      </c>
      <c r="E396" s="16" t="inlineStr">
        <is>
          <t>公式</t>
        </is>
      </c>
      <c r="F396" s="17" t="inlineStr">
        <is>
          <t>https://help.partiful.com/en-us/articles/15525626-i-m-not-receiving-the-text-verification-codes-to-log-in</t>
        </is>
      </c>
      <c r="G396" s="16" t="inlineStr">
        <is>
          <t>電話番号宛てのSMS認証コードでログインする。メール・SNSログインの公式記述は確認できず</t>
        </is>
      </c>
    </row>
    <row r="397">
      <c r="A397" s="16" t="inlineStr">
        <is>
          <t>Partiful</t>
        </is>
      </c>
      <c r="B397" s="16" t="inlineStr">
        <is>
          <t>JN03</t>
        </is>
      </c>
      <c r="C397" s="16" t="inlineStr">
        <is>
          <t>承認制・参加申請</t>
        </is>
      </c>
      <c r="D397" s="13" t="inlineStr">
        <is>
          <t>✅</t>
        </is>
      </c>
      <c r="E397" s="16" t="inlineStr">
        <is>
          <t>公式</t>
        </is>
      </c>
      <c r="F397" s="17" t="inlineStr">
        <is>
          <t>https://help.partiful.com/en-us/articles/15525360-how-can-i-use-guest-approval-and-waitlist-at-the-same-time</t>
        </is>
      </c>
      <c r="G397" s="16" t="inlineStr">
        <is>
          <t>Guest Approvalで承認・保留・待機を管理できる。チケット販売イベントでの承認制設定のヘルプもある(17234427の見出しのみ確認)</t>
        </is>
      </c>
    </row>
    <row r="398">
      <c r="A398" s="16" t="inlineStr">
        <is>
          <t>Partiful</t>
        </is>
      </c>
      <c r="B398" s="16" t="inlineStr">
        <is>
          <t>JN04</t>
        </is>
      </c>
      <c r="C398" s="16" t="inlineStr">
        <is>
          <t>ウェイトリスト</t>
        </is>
      </c>
      <c r="D398" s="13" t="inlineStr">
        <is>
          <t>✅</t>
        </is>
      </c>
      <c r="E398" s="16" t="inlineStr">
        <is>
          <t>公式</t>
        </is>
      </c>
      <c r="F398" s="17" t="inlineStr">
        <is>
          <t>https://help.partiful.com/en-us/articles/15525364-how-does-the-waitlist-move-my-guests-off-of-the-list</t>
        </is>
      </c>
      <c r="G398" s="16" t="inlineStr">
        <is>
          <t>定員を設定すると自動で待機リストに入り、初回RSVP順に繰り上げ(ホストは手動で上書き可)。チケット販売イベントでの待機リストは公式で未確認(Luma比較ページは「ない」と主張=競合発信)</t>
        </is>
      </c>
    </row>
    <row r="399">
      <c r="A399" s="16" t="inlineStr">
        <is>
          <t>Partiful</t>
        </is>
      </c>
      <c r="B399" s="16" t="inlineStr">
        <is>
          <t>JN05</t>
        </is>
      </c>
      <c r="C399" s="16" t="inlineStr">
        <is>
          <t>定員・残席の表示</t>
        </is>
      </c>
      <c r="D399" s="13" t="inlineStr">
        <is>
          <t>？</t>
        </is>
      </c>
      <c r="E399" s="16" t="inlineStr">
        <is>
          <t>なし</t>
        </is>
      </c>
      <c r="F399" s="16" t="inlineStr"/>
      <c r="G399" s="16" t="inlineStr">
        <is>
          <t>定員(最大人数)は設定できるが、参加者への残席表示は公式ヘルプで確認できず。参加人数(# Going)は表示・非表示を選べる(15525441)</t>
        </is>
      </c>
    </row>
    <row r="400">
      <c r="A400" s="16" t="inlineStr">
        <is>
          <t>Partiful</t>
        </is>
      </c>
      <c r="B400" s="16" t="inlineStr">
        <is>
          <t>JN06</t>
        </is>
      </c>
      <c r="C400" s="16" t="inlineStr">
        <is>
          <t>追加質問・同行者の入力</t>
        </is>
      </c>
      <c r="D400" s="13" t="inlineStr">
        <is>
          <t>✅</t>
        </is>
      </c>
      <c r="E400" s="16" t="inlineStr">
        <is>
          <t>公式</t>
        </is>
      </c>
      <c r="F400" s="17" t="inlineStr">
        <is>
          <t>https://help.partiful.com/en-us/articles/15525424-collecting-guest-info-dietary-restrictions-names-of-1s-etc</t>
        </is>
      </c>
      <c r="G400" s="16" t="inlineStr">
        <is>
          <t>RSVP時のゲスト向けアンケート(Questionnaire)と、+1の氏名の必須化(15525407)ができる。回答はホストのみ閲覧</t>
        </is>
      </c>
    </row>
    <row r="401">
      <c r="A401" s="16" t="inlineStr">
        <is>
          <t>Partiful</t>
        </is>
      </c>
      <c r="B401" s="16" t="inlineStr">
        <is>
          <t>JN07</t>
        </is>
      </c>
      <c r="C401" s="16" t="inlineStr">
        <is>
          <t>参加者のセルフキャンセル</t>
        </is>
      </c>
      <c r="D401" s="13" t="inlineStr">
        <is>
          <t>△</t>
        </is>
      </c>
      <c r="E401" s="16" t="inlineStr">
        <is>
          <t>公式</t>
        </is>
      </c>
      <c r="F401" s="17" t="inlineStr">
        <is>
          <t>https://help.partiful.com/en-us/articles/15525553-can-i-get-a-refund-if-i-can-no-longer-attend</t>
        </is>
      </c>
      <c r="G401" s="16" t="inlineStr">
        <is>
          <t>RSVPの変更・イベントからの退出は自分でできる。チケットは「All ticket sales are final」で原則返金不可、ホストに依頼する</t>
        </is>
      </c>
    </row>
    <row r="402">
      <c r="A402" s="16" t="inlineStr">
        <is>
          <t>Partiful</t>
        </is>
      </c>
      <c r="B402" s="16" t="inlineStr">
        <is>
          <t>JN08</t>
        </is>
      </c>
      <c r="C402" s="16" t="inlineStr">
        <is>
          <t>カレンダー追加</t>
        </is>
      </c>
      <c r="D402" s="13" t="inlineStr">
        <is>
          <t>✅</t>
        </is>
      </c>
      <c r="E402" s="16" t="inlineStr">
        <is>
          <t>公式</t>
        </is>
      </c>
      <c r="F402" s="17" t="inlineStr">
        <is>
          <t>https://help.partiful.com/en-us/articles/15525658-add-single-event-to-a-calendar</t>
        </is>
      </c>
      <c r="G402" s="16" t="inlineStr">
        <is>
          <t>単発イベントのカレンダー追加と、Google・Apple・Outlookカレンダー同期の設定がある(同期手順はヘルプ見出しのみ確認)</t>
        </is>
      </c>
    </row>
    <row r="403">
      <c r="A403" s="16" t="inlineStr">
        <is>
          <t>Partiful</t>
        </is>
      </c>
      <c r="B403" s="16" t="inlineStr">
        <is>
          <t>JN09</t>
        </is>
      </c>
      <c r="C403" s="16" t="inlineStr">
        <is>
          <t>開催前リマインド</t>
        </is>
      </c>
      <c r="D403" s="13" t="inlineStr">
        <is>
          <t>✅</t>
        </is>
      </c>
      <c r="E403" s="16" t="inlineStr">
        <is>
          <t>公式</t>
        </is>
      </c>
      <c r="F403" s="17" t="inlineStr">
        <is>
          <t>https://help.partiful.com/en-us/articles/15525436-what-event-reminders-do-you-send</t>
        </is>
      </c>
      <c r="G403" s="16" t="inlineStr">
        <is>
          <t>「行く」ゲストへ開催2時間前、「たぶん・未回答」へ約1週間前に自動リマインド。SMS・iMessage・WhatsApp(国による)またはプッシュで、メールは非対象</t>
        </is>
      </c>
    </row>
    <row r="404">
      <c r="A404" s="16" t="inlineStr">
        <is>
          <t>Partiful</t>
        </is>
      </c>
      <c r="B404" s="16" t="inlineStr">
        <is>
          <t>JN10</t>
        </is>
      </c>
      <c r="C404" s="16" t="inlineStr">
        <is>
          <t>QRチケット・当日受付</t>
        </is>
      </c>
      <c r="D404" s="13" t="inlineStr">
        <is>
          <t>△</t>
        </is>
      </c>
      <c r="E404" s="16" t="inlineStr">
        <is>
          <t>公式</t>
        </is>
      </c>
      <c r="F404" s="17" t="inlineStr">
        <is>
          <t>https://help.partiful.com/en-us/articles/15525340-how-does-check-in-work-for-ticketed-events</t>
        </is>
      </c>
      <c r="G404" s="16" t="inlineStr">
        <is>
          <t>購入者ごとに一意のQRコードをアプリでスキャンして受付。チケット販売は米国・英国のホストのみ(地域限定)。スタッフ追加と手動チェックインも可</t>
        </is>
      </c>
    </row>
    <row r="405">
      <c r="A405" s="16" t="inlineStr">
        <is>
          <t>Partiful</t>
        </is>
      </c>
      <c r="B405" s="16" t="inlineStr">
        <is>
          <t>JN11</t>
        </is>
      </c>
      <c r="C405" s="16" t="inlineStr">
        <is>
          <t>参加者一覧の閲覧</t>
        </is>
      </c>
      <c r="D405" s="13" t="inlineStr">
        <is>
          <t>✅</t>
        </is>
      </c>
      <c r="E405" s="16" t="inlineStr">
        <is>
          <t>公式</t>
        </is>
      </c>
      <c r="F405" s="17" t="inlineStr">
        <is>
          <t>https://help.partiful.com/en-us/articles/15525441-can-i-hide-the-guest-list-or-guest-count-on-the-party-page</t>
        </is>
      </c>
      <c r="G405" s="16" t="inlineStr">
        <is>
          <t>ゲスト一覧と参加人数(# Going)を表示でき、ホストが非表示にもできる</t>
        </is>
      </c>
    </row>
    <row r="406">
      <c r="A406" s="16" t="inlineStr">
        <is>
          <t>Partiful</t>
        </is>
      </c>
      <c r="B406" s="16" t="inlineStr">
        <is>
          <t>JN12</t>
        </is>
      </c>
      <c r="C406" s="16" t="inlineStr">
        <is>
          <t>イベント後の体験</t>
        </is>
      </c>
      <c r="D406" s="13" t="inlineStr">
        <is>
          <t>✅</t>
        </is>
      </c>
      <c r="E406" s="16" t="inlineStr">
        <is>
          <t>公式</t>
        </is>
      </c>
      <c r="F406" s="17" t="inlineStr">
        <is>
          <t>https://help.partiful.com/en-us/articles/15525446-how-do-i-upload-photos-to-my-event-page</t>
        </is>
      </c>
      <c r="G406" s="16" t="inlineStr">
        <is>
          <t>ゲストとホストが写真を共有アップロードでき、イベント後60日までテキストブラストを送れる(15525395)。レビュー機能は確認できず</t>
        </is>
      </c>
    </row>
    <row r="407">
      <c r="A407" s="16" t="inlineStr">
        <is>
          <t>Partiful</t>
        </is>
      </c>
      <c r="B407" s="16" t="inlineStr">
        <is>
          <t>SH01</t>
        </is>
      </c>
      <c r="C407" s="16" t="inlineStr">
        <is>
          <t>共有用URL・OGPカード</t>
        </is>
      </c>
      <c r="D407" s="13" t="inlineStr">
        <is>
          <t>△</t>
        </is>
      </c>
      <c r="E407" s="16" t="inlineStr">
        <is>
          <t>公式</t>
        </is>
      </c>
      <c r="F407" s="17" t="inlineStr">
        <is>
          <t>https://partiful.com/ticketing</t>
        </is>
      </c>
      <c r="G407" s="16" t="inlineStr">
        <is>
          <t>共有・発見を意図した公開イベントページがある。画像付きOGPカードの表示は公式で確認できず</t>
        </is>
      </c>
    </row>
    <row r="408">
      <c r="A408" s="16" t="inlineStr">
        <is>
          <t>Partiful</t>
        </is>
      </c>
      <c r="B408" s="16" t="inlineStr">
        <is>
          <t>SH02</t>
        </is>
      </c>
      <c r="C408" s="16" t="inlineStr">
        <is>
          <t>SNS・メッセージ共有ボタン</t>
        </is>
      </c>
      <c r="D408" s="13" t="inlineStr">
        <is>
          <t>✅</t>
        </is>
      </c>
      <c r="E408" s="16" t="inlineStr">
        <is>
          <t>公式</t>
        </is>
      </c>
      <c r="F408" s="17" t="inlineStr">
        <is>
          <t>https://partiful.com/</t>
        </is>
      </c>
      <c r="G408" s="16" t="inlineStr">
        <is>
          <t>招待をメール・テキスト・Instagram・WhatsApp・電話の連絡先から共有できる。グロース根拠あり(招待リンクのバイラルとして既存ノート)</t>
        </is>
      </c>
    </row>
    <row r="409">
      <c r="A409" s="16" t="inlineStr">
        <is>
          <t>Partiful</t>
        </is>
      </c>
      <c r="B409" s="16" t="inlineStr">
        <is>
          <t>SH03</t>
        </is>
      </c>
      <c r="C409" s="16" t="inlineStr">
        <is>
          <t>友人・同行者の招待導線</t>
        </is>
      </c>
      <c r="D409" s="13" t="inlineStr">
        <is>
          <t>✅</t>
        </is>
      </c>
      <c r="E409" s="16" t="inlineStr">
        <is>
          <t>公式</t>
        </is>
      </c>
      <c r="F409" s="17" t="inlineStr">
        <is>
          <t>https://help.partiful.com/en-us/articles/15525322-how-many-people-can-my-guests-invite-to-my-event</t>
        </is>
      </c>
      <c r="G409" s="16" t="inlineStr">
        <is>
          <t>ゲストは既定でMutualsを最大15人まで招待できる(ホストが無効化可)。招待者の追跡は記載なし</t>
        </is>
      </c>
    </row>
    <row r="410">
      <c r="A410" s="16" t="inlineStr">
        <is>
          <t>Partiful</t>
        </is>
      </c>
      <c r="B410" s="16" t="inlineStr">
        <is>
          <t>SH04</t>
        </is>
      </c>
      <c r="C410" s="16" t="inlineStr">
        <is>
          <t>紹介リンク・紹介の可視化</t>
        </is>
      </c>
      <c r="D410" s="13" t="inlineStr">
        <is>
          <t>？</t>
        </is>
      </c>
      <c r="E410" s="16" t="inlineStr">
        <is>
          <t>なし</t>
        </is>
      </c>
      <c r="F410" s="16" t="inlineStr"/>
      <c r="G410" s="16" t="inlineStr">
        <is>
          <t>誰が連れてきたかを追跡・表示する機能は公式ヘルプで確認できず(15525322にも追跡の記載なし)</t>
        </is>
      </c>
    </row>
    <row r="411">
      <c r="A411" s="16" t="inlineStr">
        <is>
          <t>Partiful</t>
        </is>
      </c>
      <c r="B411" s="16" t="inlineStr">
        <is>
          <t>SH05</t>
        </is>
      </c>
      <c r="C411" s="16" t="inlineStr">
        <is>
          <t>連絡先・SNS連携で友人発見</t>
        </is>
      </c>
      <c r="D411" s="13" t="inlineStr">
        <is>
          <t>✅</t>
        </is>
      </c>
      <c r="E411" s="16" t="inlineStr">
        <is>
          <t>公式</t>
        </is>
      </c>
      <c r="F411" s="17" t="inlineStr">
        <is>
          <t>https://help.partiful.com/en-us/articles/15525668-how-can-i-invite-my-phone-contacts</t>
        </is>
      </c>
      <c r="G411" s="16" t="inlineStr">
        <is>
          <t>アプリで電話の連絡先を同期して招待できる。招待された人にはSMSでリンクが届く</t>
        </is>
      </c>
    </row>
    <row r="412">
      <c r="A412" s="16" t="inlineStr">
        <is>
          <t>Partiful</t>
        </is>
      </c>
      <c r="B412" s="16" t="inlineStr">
        <is>
          <t>SH06</t>
        </is>
      </c>
      <c r="C412" s="16" t="inlineStr">
        <is>
          <t>社会的証明の表示</t>
        </is>
      </c>
      <c r="D412" s="13" t="inlineStr">
        <is>
          <t>✅</t>
        </is>
      </c>
      <c r="E412" s="16" t="inlineStr">
        <is>
          <t>公式</t>
        </is>
      </c>
      <c r="F412" s="17" t="inlineStr">
        <is>
          <t>https://help.partiful.com/en-us/articles/15525441-can-i-hide-the-guest-list-or-guest-count-on-the-party-page</t>
        </is>
      </c>
      <c r="G412" s="16" t="inlineStr">
        <is>
          <t>ゲスト一覧と参加人数を表示(ホストが非表示可)。有料のPeekで招待済みの人が事前に一覧を見られる(17033211)</t>
        </is>
      </c>
    </row>
    <row r="413">
      <c r="A413" s="16" t="inlineStr">
        <is>
          <t>Partiful</t>
        </is>
      </c>
      <c r="B413" s="16" t="inlineStr">
        <is>
          <t>SH07</t>
        </is>
      </c>
      <c r="C413" s="16" t="inlineStr">
        <is>
          <t>QR・短縮URL・チラシ生成</t>
        </is>
      </c>
      <c r="D413" s="13" t="inlineStr">
        <is>
          <t>△</t>
        </is>
      </c>
      <c r="E413" s="16" t="inlineStr">
        <is>
          <t>公式</t>
        </is>
      </c>
      <c r="F413" s="17" t="inlineStr">
        <is>
          <t>https://help.partiful.com/en-us/articles/15525327-how-do-i-generate-a-qr-code-that-i-can-use-to-share-my-event</t>
        </is>
      </c>
      <c r="G413" s="16" t="inlineStr">
        <is>
          <t>アプリの共有メニューにダウンロード可能なQRコードがある。Web版は非対応(アプリのみの条件付き)</t>
        </is>
      </c>
    </row>
    <row r="414">
      <c r="A414" s="16" t="inlineStr">
        <is>
          <t>Partiful</t>
        </is>
      </c>
      <c r="B414" s="16" t="inlineStr">
        <is>
          <t>SH08</t>
        </is>
      </c>
      <c r="C414" s="16" t="inlineStr">
        <is>
          <t>埋め込みウィジェット</t>
        </is>
      </c>
      <c r="D414" s="13" t="inlineStr">
        <is>
          <t>？</t>
        </is>
      </c>
      <c r="E414" s="16" t="inlineStr">
        <is>
          <t>なし</t>
        </is>
      </c>
      <c r="F414" s="16" t="inlineStr"/>
      <c r="G414" s="16" t="inlineStr">
        <is>
          <t>外部サイトへ埋め込むウィジェット・ボタンは公式ヘルプで確認できず</t>
        </is>
      </c>
    </row>
    <row r="415">
      <c r="A415" s="16" t="inlineStr">
        <is>
          <t>Partiful</t>
        </is>
      </c>
      <c r="B415" s="16" t="inlineStr">
        <is>
          <t>OP01</t>
        </is>
      </c>
      <c r="C415" s="16" t="inlineStr">
        <is>
          <t>簡単な作成</t>
        </is>
      </c>
      <c r="D415" s="13" t="inlineStr">
        <is>
          <t>✅</t>
        </is>
      </c>
      <c r="E415" s="16" t="inlineStr">
        <is>
          <t>公式</t>
        </is>
      </c>
      <c r="F415" s="17" t="inlineStr">
        <is>
          <t>https://partiful.com/</t>
        </is>
      </c>
      <c r="G415" s="16" t="inlineStr">
        <is>
          <t>テンプレート・背景・フォント・アニメーションを選んで招待ページを作れる。グロース根拠あり(デザイン・ブランドとして既存ノート)</t>
        </is>
      </c>
    </row>
    <row r="416">
      <c r="A416" s="16" t="inlineStr">
        <is>
          <t>Partiful</t>
        </is>
      </c>
      <c r="B416" s="16" t="inlineStr">
        <is>
          <t>OP02</t>
        </is>
      </c>
      <c r="C416" s="16" t="inlineStr">
        <is>
          <t>コピー・繰り返し作成</t>
        </is>
      </c>
      <c r="D416" s="13" t="inlineStr">
        <is>
          <t>△</t>
        </is>
      </c>
      <c r="E416" s="16" t="inlineStr">
        <is>
          <t>公式</t>
        </is>
      </c>
      <c r="F416" s="17" t="inlineStr">
        <is>
          <t>https://help.partiful.com/en-us/articles/15525373-can-i-set-up-recurring-events</t>
        </is>
      </c>
      <c r="G416" s="16" t="inlineStr">
        <is>
          <t>Clone eventで複製できる(ゲストは複製されず再招待。過去イベントから絞り込み可)。定例イベントは「we don't offer recurring events」と明記</t>
        </is>
      </c>
    </row>
    <row r="417">
      <c r="A417" s="16" t="inlineStr">
        <is>
          <t>Partiful</t>
        </is>
      </c>
      <c r="B417" s="16" t="inlineStr">
        <is>
          <t>OP03</t>
        </is>
      </c>
      <c r="C417" s="16" t="inlineStr">
        <is>
          <t>下書き・限定公開</t>
        </is>
      </c>
      <c r="D417" s="13" t="inlineStr">
        <is>
          <t>✅</t>
        </is>
      </c>
      <c r="E417" s="16" t="inlineStr">
        <is>
          <t>公式</t>
        </is>
      </c>
      <c r="F417" s="17" t="inlineStr">
        <is>
          <t>https://help.partiful.com/en-us/articles/15525563-what-is-a-public-event</t>
        </is>
      </c>
      <c r="G417" s="16" t="inlineStr">
        <is>
          <t>公開範囲(Public/限定)を設定でき、パスワード保護イベントもある(17033211の制約記述)。下書き保存は公式で確認できず</t>
        </is>
      </c>
    </row>
    <row r="418">
      <c r="A418" s="16" t="inlineStr">
        <is>
          <t>Partiful</t>
        </is>
      </c>
      <c r="B418" s="16" t="inlineStr">
        <is>
          <t>OP04</t>
        </is>
      </c>
      <c r="C418" s="16" t="inlineStr">
        <is>
          <t>AI作成支援</t>
        </is>
      </c>
      <c r="D418" s="13" t="inlineStr">
        <is>
          <t>？</t>
        </is>
      </c>
      <c r="E418" s="16" t="inlineStr">
        <is>
          <t>なし</t>
        </is>
      </c>
      <c r="F418" s="16" t="inlineStr"/>
      <c r="G418" s="16" t="inlineStr">
        <is>
          <t>AI生成の公式機能は公式ページ・ヘルプ・検索で確認できず(Partiful公式記事は「AI生成コンテンツは避ける」と助言=15525571)</t>
        </is>
      </c>
    </row>
    <row r="419">
      <c r="A419" s="16" t="inlineStr">
        <is>
          <t>Partiful</t>
        </is>
      </c>
      <c r="B419" s="16" t="inlineStr">
        <is>
          <t>OP05</t>
        </is>
      </c>
      <c r="C419" s="16" t="inlineStr">
        <is>
          <t>共同主催・運営メンバー権限</t>
        </is>
      </c>
      <c r="D419" s="13" t="inlineStr">
        <is>
          <t>✅</t>
        </is>
      </c>
      <c r="E419" s="16" t="inlineStr">
        <is>
          <t>公式</t>
        </is>
      </c>
      <c r="F419" s="17" t="inlineStr">
        <is>
          <t>https://help.partiful.com/en-us/articles/15525429-how-do-i-make-someone-a-cohost-or-become-a-cohost</t>
        </is>
      </c>
      <c r="G419" s="16" t="inlineStr">
        <is>
          <t>共同ホスト(リンクまたは招待)は設定変更とテキストブラストが可能。Org Profileは複数管理者、チェックインスタッフ権限もある。共同ホストの権限の細分化は未確認</t>
        </is>
      </c>
    </row>
    <row r="420">
      <c r="A420" s="16" t="inlineStr">
        <is>
          <t>Partiful</t>
        </is>
      </c>
      <c r="B420" s="16" t="inlineStr">
        <is>
          <t>OP06</t>
        </is>
      </c>
      <c r="C420" s="16" t="inlineStr">
        <is>
          <t>参加者管理・名簿出力</t>
        </is>
      </c>
      <c r="D420" s="13" t="inlineStr">
        <is>
          <t>✅</t>
        </is>
      </c>
      <c r="E420" s="16" t="inlineStr">
        <is>
          <t>公式</t>
        </is>
      </c>
      <c r="F420" s="17" t="inlineStr">
        <is>
          <t>https://help.partiful.com/en-us/articles/15525376-how-can-i-export-my-guest-list</t>
        </is>
      </c>
      <c r="G420" s="16" t="inlineStr">
        <is>
          <t>ゲスト一覧からCSV出力(RSVP種別を選択)。チェックイン状態を含むCSVも可(15525408)</t>
        </is>
      </c>
    </row>
    <row r="421">
      <c r="A421" s="16" t="inlineStr">
        <is>
          <t>Partiful</t>
        </is>
      </c>
      <c r="B421" s="16" t="inlineStr">
        <is>
          <t>OP07</t>
        </is>
      </c>
      <c r="C421" s="16" t="inlineStr">
        <is>
          <t>一斉メッセージ</t>
        </is>
      </c>
      <c r="D421" s="13" t="inlineStr">
        <is>
          <t>✅</t>
        </is>
      </c>
      <c r="E421" s="16" t="inlineStr">
        <is>
          <t>公式</t>
        </is>
      </c>
      <c r="F421" s="17" t="inlineStr">
        <is>
          <t>https://help.partiful.com/en-us/articles/15525387-who-can-i-send-text-blasts-to</t>
        </is>
      </c>
      <c r="G421" s="16" t="inlineStr">
        <is>
          <t>RSVP済み・招待済みのゲスト宛てにテキストブラストを送れ、終了後60日まで可。イベント当たりの回数上限あり(15525389の見出し)</t>
        </is>
      </c>
    </row>
    <row r="422">
      <c r="A422" s="16" t="inlineStr">
        <is>
          <t>Partiful</t>
        </is>
      </c>
      <c r="B422" s="16" t="inlineStr">
        <is>
          <t>OP08</t>
        </is>
      </c>
      <c r="C422" s="16" t="inlineStr">
        <is>
          <t>当日運営ツール</t>
        </is>
      </c>
      <c r="D422" s="13" t="inlineStr">
        <is>
          <t>✅</t>
        </is>
      </c>
      <c r="E422" s="16" t="inlineStr">
        <is>
          <t>公式</t>
        </is>
      </c>
      <c r="F422" s="17" t="inlineStr">
        <is>
          <t>https://help.partiful.com/en-us/articles/15525340-how-does-check-in-work-for-ticketed-events</t>
        </is>
      </c>
      <c r="G422" s="16" t="inlineStr">
        <is>
          <t>QRスキャン、手動チェックイン、複数スタッフでの同時受付(ヘルプ見出し)。Webからのチェックインも可(15525408)</t>
        </is>
      </c>
    </row>
    <row r="423">
      <c r="A423" s="16" t="inlineStr">
        <is>
          <t>Partiful</t>
        </is>
      </c>
      <c r="B423" s="16" t="inlineStr">
        <is>
          <t>OP09</t>
        </is>
      </c>
      <c r="C423" s="16" t="inlineStr">
        <is>
          <t>売上・入金管理</t>
        </is>
      </c>
      <c r="D423" s="13" t="inlineStr">
        <is>
          <t>△</t>
        </is>
      </c>
      <c r="E423" s="16" t="inlineStr">
        <is>
          <t>公式</t>
        </is>
      </c>
      <c r="F423" s="17" t="inlineStr">
        <is>
          <t>https://help.partiful.com/en-us/articles/15525384-when-do-i-get-paid</t>
        </is>
      </c>
      <c r="G423" s="16" t="inlineStr">
        <is>
          <t>売上はイベント別・全体で確認でき、入金はイベント終了の3〜7営業日後(初回は最大14日)。チケット販売は米国・英国のホストのみ(地域限定)。即時入金の記述は確認できず</t>
        </is>
      </c>
    </row>
    <row r="424">
      <c r="A424" s="16" t="inlineStr">
        <is>
          <t>Partiful</t>
        </is>
      </c>
      <c r="B424" s="16" t="inlineStr">
        <is>
          <t>OP10</t>
        </is>
      </c>
      <c r="C424" s="16" t="inlineStr">
        <is>
          <t>流入・申込の分析</t>
        </is>
      </c>
      <c r="D424" s="13" t="inlineStr">
        <is>
          <t>△</t>
        </is>
      </c>
      <c r="E424" s="16" t="inlineStr">
        <is>
          <t>公式</t>
        </is>
      </c>
      <c r="F424" s="17" t="inlineStr">
        <is>
          <t>https://help.partiful.com/en-us/articles/15525382-how-do-i-track-my-revenue</t>
        </is>
      </c>
      <c r="G424" s="16" t="inlineStr">
        <is>
          <t>チケット売上・販売数・入金状況の確認のみ。流入元・UTM・閲覧から申込への分析は公式で確認できず</t>
        </is>
      </c>
    </row>
    <row r="425">
      <c r="A425" s="16" t="inlineStr">
        <is>
          <t>Partiful</t>
        </is>
      </c>
      <c r="B425" s="16" t="inlineStr">
        <is>
          <t>OP11</t>
        </is>
      </c>
      <c r="C425" s="16" t="inlineStr">
        <is>
          <t>主催者ページ・グループページ</t>
        </is>
      </c>
      <c r="D425" s="13" t="inlineStr">
        <is>
          <t>✅</t>
        </is>
      </c>
      <c r="E425" s="16" t="inlineStr">
        <is>
          <t>公式</t>
        </is>
      </c>
      <c r="F425" s="17" t="inlineStr">
        <is>
          <t>https://partiful.com/org-profiles</t>
        </is>
      </c>
      <c r="G425" s="16" t="inlineStr">
        <is>
          <t>Org Profileで1つのリンクから全イベントを見せられ、複数管理者と個人・組織の切替がある。公開ページの詳細(過去イベント一覧・フォロワー)は未確認</t>
        </is>
      </c>
    </row>
    <row r="426">
      <c r="A426" s="16" t="inlineStr">
        <is>
          <t>Partiful</t>
        </is>
      </c>
      <c r="B426" s="16" t="inlineStr">
        <is>
          <t>OP12</t>
        </is>
      </c>
      <c r="C426" s="16" t="inlineStr">
        <is>
          <t>外部ツール連携・API</t>
        </is>
      </c>
      <c r="D426" s="13" t="inlineStr">
        <is>
          <t>△</t>
        </is>
      </c>
      <c r="E426" s="16" t="inlineStr">
        <is>
          <t>公式</t>
        </is>
      </c>
      <c r="F426" s="17" t="inlineStr">
        <is>
          <t>https://help.partiful.com/en-us/articles/15525654-how-can-i-customize-my-calendar-sync-settings</t>
        </is>
      </c>
      <c r="G426" s="16" t="inlineStr">
        <is>
          <t>Google・Apple・Outlookカレンダー同期のみ確認。API・Webhook・Zoom等の公式記述は確認できず(Luma比較ページは公開APIなしと主張=競合発信)</t>
        </is>
      </c>
    </row>
    <row r="427">
      <c r="A427" s="16" t="inlineStr">
        <is>
          <t>Partiful</t>
        </is>
      </c>
      <c r="B427" s="16" t="inlineStr">
        <is>
          <t>AC01</t>
        </is>
      </c>
      <c r="C427" s="16" t="inlineStr">
        <is>
          <t>無料イベントは無料</t>
        </is>
      </c>
      <c r="D427" s="13" t="inlineStr">
        <is>
          <t>✅</t>
        </is>
      </c>
      <c r="E427" s="16" t="inlineStr">
        <is>
          <t>公式</t>
        </is>
      </c>
      <c r="F427" s="17" t="inlineStr">
        <is>
          <t>https://help.partiful.com/en-us/articles/15525405-are-there-fees-for-free-events</t>
        </is>
      </c>
      <c r="G427" s="16" t="inlineStr">
        <is>
          <t>無料イベントの主催・参加は無料(プレミアム招待デザインは任意の有料)</t>
        </is>
      </c>
    </row>
    <row r="428">
      <c r="A428" s="16" t="inlineStr">
        <is>
          <t>Partiful</t>
        </is>
      </c>
      <c r="B428" s="16" t="inlineStr">
        <is>
          <t>AC02</t>
        </is>
      </c>
      <c r="C428" s="16" t="inlineStr">
        <is>
          <t>手数料負担の選択</t>
        </is>
      </c>
      <c r="D428" s="13" t="inlineStr">
        <is>
          <t>△</t>
        </is>
      </c>
      <c r="E428" s="16" t="inlineStr">
        <is>
          <t>公式</t>
        </is>
      </c>
      <c r="F428" s="17" t="inlineStr">
        <is>
          <t>https://help.partiful.com/en-us/articles/15525399-who-pays-the-ticket-service-fee</t>
        </is>
      </c>
      <c r="G428" s="16" t="inlineStr">
        <is>
          <t>サービス手数料の負担者(ホストか購入者)をホストが選べる(You receiveまたはTicket priceを入力)。ただし有料チケット販売は米国・英国のホストのみ(地域限定)</t>
        </is>
      </c>
    </row>
    <row r="429">
      <c r="A429" s="16" t="inlineStr">
        <is>
          <t>Partiful</t>
        </is>
      </c>
      <c r="B429" s="16" t="inlineStr">
        <is>
          <t>AC03</t>
        </is>
      </c>
      <c r="C429" s="16" t="inlineStr">
        <is>
          <t>参加者データの所有・出力</t>
        </is>
      </c>
      <c r="D429" s="13" t="inlineStr">
        <is>
          <t>✅</t>
        </is>
      </c>
      <c r="E429" s="16" t="inlineStr">
        <is>
          <t>公式</t>
        </is>
      </c>
      <c r="F429" s="17" t="inlineStr">
        <is>
          <t>https://help.partiful.com/en-us/articles/15525376-how-can-i-export-my-guest-list</t>
        </is>
      </c>
      <c r="G429" s="16" t="inlineStr">
        <is>
          <t>ゲスト一覧のCSV出力ができる(含まれる列は公式で未確認)</t>
        </is>
      </c>
    </row>
    <row r="430">
      <c r="A430" s="16" t="inlineStr">
        <is>
          <t>Partiful</t>
        </is>
      </c>
      <c r="B430" s="16" t="inlineStr">
        <is>
          <t>AC04</t>
        </is>
      </c>
      <c r="C430" s="16" t="inlineStr">
        <is>
          <t>他サービスからの移行</t>
        </is>
      </c>
      <c r="D430" s="13" t="inlineStr">
        <is>
          <t>？</t>
        </is>
      </c>
      <c r="E430" s="16" t="inlineStr">
        <is>
          <t>なし</t>
        </is>
      </c>
      <c r="F430" s="16" t="inlineStr"/>
      <c r="G430" s="16" t="inlineStr">
        <is>
          <t>他サービスからの移行・インポート支援は公式ヘルプで確認できず(メールアドレスの一括招待はある=15525326)</t>
        </is>
      </c>
    </row>
    <row r="431">
      <c r="A431" s="16" t="inlineStr">
        <is>
          <t>Partiful</t>
        </is>
      </c>
      <c r="B431" s="16" t="inlineStr">
        <is>
          <t>AC05</t>
        </is>
      </c>
      <c r="C431" s="16" t="inlineStr">
        <is>
          <t>主催者紹介・アンバサダー</t>
        </is>
      </c>
      <c r="D431" s="13" t="inlineStr">
        <is>
          <t>？</t>
        </is>
      </c>
      <c r="E431" s="16" t="inlineStr">
        <is>
          <t>なし</t>
        </is>
      </c>
      <c r="F431" s="16" t="inlineStr"/>
      <c r="G431" s="16" t="inlineStr">
        <is>
          <t>主催者向けのアンバサダー・紹介報酬制度は確認できず。ブランド提携の窓口(15525618)とクリエイターのFTC規定(15525620)のみ。Campus Growth職の求人は二次情報(既存ノート04)</t>
        </is>
      </c>
    </row>
    <row r="432">
      <c r="A432" s="16" t="inlineStr">
        <is>
          <t>Partiful</t>
        </is>
      </c>
      <c r="B432" s="16" t="inlineStr">
        <is>
          <t>AC06</t>
        </is>
      </c>
      <c r="C432" s="16" t="inlineStr">
        <is>
          <t>主催者向け教育・テンプレ</t>
        </is>
      </c>
      <c r="D432" s="13" t="inlineStr">
        <is>
          <t>✅</t>
        </is>
      </c>
      <c r="E432" s="16" t="inlineStr">
        <is>
          <t>公式</t>
        </is>
      </c>
      <c r="F432" s="17" t="inlineStr">
        <is>
          <t>https://partiful.com/blog/post/heres-how-to-actually-grow-your-audience</t>
        </is>
      </c>
      <c r="G432" s="16" t="inlineStr">
        <is>
          <t>ホスト向けの成長ガイド記事(2026-10)、ヘルプセンターのホスト向け111記事、Explore掲載のためのチェックリスト(15525571)がある</t>
        </is>
      </c>
    </row>
    <row r="433">
      <c r="A433" s="16" t="inlineStr">
        <is>
          <t>Partiful</t>
        </is>
      </c>
      <c r="B433" s="16" t="inlineStr">
        <is>
          <t>AC07</t>
        </is>
      </c>
      <c r="C433" s="16" t="inlineStr">
        <is>
          <t>集客支援の商品</t>
        </is>
      </c>
      <c r="D433" s="13" t="inlineStr">
        <is>
          <t>？</t>
        </is>
      </c>
      <c r="E433" s="16" t="inlineStr">
        <is>
          <t>なし</t>
        </is>
      </c>
      <c r="F433" s="16" t="inlineStr"/>
      <c r="G433" s="16" t="inlineStr">
        <is>
          <t>有料掲載・広告・ブーストなどの集客支援商品は確認できず</t>
        </is>
      </c>
    </row>
    <row r="434">
      <c r="A434" s="16" t="inlineStr">
        <is>
          <t>Partiful</t>
        </is>
      </c>
      <c r="B434" s="16" t="inlineStr">
        <is>
          <t>AC08</t>
        </is>
      </c>
      <c r="C434" s="16" t="inlineStr">
        <is>
          <t>運営主催・公式イベント</t>
        </is>
      </c>
      <c r="D434" s="13" t="inlineStr">
        <is>
          <t>？</t>
        </is>
      </c>
      <c r="E434" s="16" t="inlineStr">
        <is>
          <t>なし</t>
        </is>
      </c>
      <c r="F434" s="16" t="inlineStr"/>
      <c r="G434" s="16" t="inlineStr">
        <is>
          <t>Partiful自身が主催・共催する公式イベントの記載は確認できず(Exploreに「Partiful主催でない」と注記した公共イベントを載せる例はある)</t>
        </is>
      </c>
    </row>
    <row r="435">
      <c r="A435" s="16" t="inlineStr">
        <is>
          <t>Partiful</t>
        </is>
      </c>
      <c r="B435" s="16" t="inlineStr">
        <is>
          <t>CR01</t>
        </is>
      </c>
      <c r="C435" s="16" t="inlineStr">
        <is>
          <t>ダイジェスト・おすすめ通知</t>
        </is>
      </c>
      <c r="D435" s="13" t="inlineStr">
        <is>
          <t>？</t>
        </is>
      </c>
      <c r="E435" s="16" t="inlineStr">
        <is>
          <t>なし</t>
        </is>
      </c>
      <c r="F435" s="16" t="inlineStr"/>
      <c r="G435" s="16" t="inlineStr">
        <is>
          <t>新着・おすすめを定期的に届けるダイジェストやプッシュの公式記述は確認できず(Interestedの自動リマインドのみ)</t>
        </is>
      </c>
    </row>
    <row r="436">
      <c r="A436" s="16" t="inlineStr">
        <is>
          <t>Partiful</t>
        </is>
      </c>
      <c r="B436" s="16" t="inlineStr">
        <is>
          <t>CR02</t>
        </is>
      </c>
      <c r="C436" s="16" t="inlineStr">
        <is>
          <t>自動メンバー化</t>
        </is>
      </c>
      <c r="D436" s="13" t="inlineStr">
        <is>
          <t>△</t>
        </is>
      </c>
      <c r="E436" s="16" t="inlineStr">
        <is>
          <t>公式</t>
        </is>
      </c>
      <c r="F436" s="17" t="inlineStr">
        <is>
          <t>https://help.partiful.com/en-us/articles/15525549-what-are-mutuals</t>
        </is>
      </c>
      <c r="G436" s="16" t="inlineStr">
        <is>
          <t>参加するとMutuals(同席者)としてつながり、公開イベントの参加予定が互いに見える。主催者のフォロー・購読による次回案内は確認できず</t>
        </is>
      </c>
    </row>
    <row r="437">
      <c r="A437" s="16" t="inlineStr">
        <is>
          <t>Partiful</t>
        </is>
      </c>
      <c r="B437" s="16" t="inlineStr">
        <is>
          <t>CR03</t>
        </is>
      </c>
      <c r="C437" s="16" t="inlineStr">
        <is>
          <t>前回参加者への優先案内</t>
        </is>
      </c>
      <c r="D437" s="13" t="inlineStr">
        <is>
          <t>✅</t>
        </is>
      </c>
      <c r="E437" s="16" t="inlineStr">
        <is>
          <t>公式</t>
        </is>
      </c>
      <c r="F437" s="17" t="inlineStr">
        <is>
          <t>https://help.partiful.com/en-us/articles/15525381-how-do-i-duplicate-an-event</t>
        </is>
      </c>
      <c r="G437" s="16" t="inlineStr">
        <is>
          <t>過去イベントで絞り込んで過去ゲストを一括再招待できる。チケットは券種の先行アクセスも可(partiful.com/ticketing)</t>
        </is>
      </c>
    </row>
    <row r="438">
      <c r="A438" s="16" t="inlineStr">
        <is>
          <t>Partiful</t>
        </is>
      </c>
      <c r="B438" s="16" t="inlineStr">
        <is>
          <t>CR04</t>
        </is>
      </c>
      <c r="C438" s="16" t="inlineStr">
        <is>
          <t>主催者CRM・購読者リスト</t>
        </is>
      </c>
      <c r="D438" s="13" t="inlineStr">
        <is>
          <t>△</t>
        </is>
      </c>
      <c r="E438" s="16" t="inlineStr">
        <is>
          <t>公式</t>
        </is>
      </c>
      <c r="F438" s="17" t="inlineStr">
        <is>
          <t>https://help.partiful.com/en-us/articles/15525329-can-i-save-my-guests-to-different-lists-groups</t>
        </is>
      </c>
      <c r="G438" s="16" t="inlineStr">
        <is>
          <t>ゲストを名前付きリストに保存する機能は「ない」と明記。過去イベント単位の絞り込み再招待のみ。セグメント配信は未確認</t>
        </is>
      </c>
    </row>
    <row r="439">
      <c r="A439" s="16" t="inlineStr">
        <is>
          <t>Partiful</t>
        </is>
      </c>
      <c r="B439" s="16" t="inlineStr">
        <is>
          <t>CR05</t>
        </is>
      </c>
      <c r="C439" s="16" t="inlineStr">
        <is>
          <t>参加履歴・バッジ・実績</t>
        </is>
      </c>
      <c r="D439" s="13" t="inlineStr">
        <is>
          <t>△</t>
        </is>
      </c>
      <c r="E439" s="16" t="inlineStr">
        <is>
          <t>公式</t>
        </is>
      </c>
      <c r="F439" s="17" t="inlineStr">
        <is>
          <t>https://help.partiful.com/en-us/articles/15525633-can-i-hide-which-events-i-ve-attended-from-other-users</t>
        </is>
      </c>
      <c r="G439" s="16" t="inlineStr">
        <is>
          <t>プロフィールに共有イベント(Shared Events)を表示する。参加回数・バッジ・実績の公式記述は確認できず</t>
        </is>
      </c>
    </row>
    <row r="440">
      <c r="A440" s="16" t="inlineStr">
        <is>
          <t>Partiful</t>
        </is>
      </c>
      <c r="B440" s="16" t="inlineStr">
        <is>
          <t>CR06</t>
        </is>
      </c>
      <c r="C440" s="16" t="inlineStr">
        <is>
          <t>レビュー・評価</t>
        </is>
      </c>
      <c r="D440" s="13" t="inlineStr">
        <is>
          <t>？</t>
        </is>
      </c>
      <c r="E440" s="16" t="inlineStr">
        <is>
          <t>なし</t>
        </is>
      </c>
      <c r="F440" s="16" t="inlineStr"/>
      <c r="G440" s="16" t="inlineStr">
        <is>
          <t>主催者・参加者・店舗へのレビュー・評価機能は公式ヘルプで確認できず</t>
        </is>
      </c>
    </row>
    <row r="441">
      <c r="A441" s="16" t="inlineStr">
        <is>
          <t>Partiful</t>
        </is>
      </c>
      <c r="B441" s="16" t="inlineStr">
        <is>
          <t>CR07</t>
        </is>
      </c>
      <c r="C441" s="16" t="inlineStr">
        <is>
          <t>グループチャット・掲示板</t>
        </is>
      </c>
      <c r="D441" s="13" t="inlineStr">
        <is>
          <t>✅</t>
        </is>
      </c>
      <c r="E441" s="16" t="inlineStr">
        <is>
          <t>公式</t>
        </is>
      </c>
      <c r="F441" s="17" t="inlineStr">
        <is>
          <t>https://partiful.com/</t>
        </is>
      </c>
      <c r="G441" s="16" t="inlineStr">
        <is>
          <t>ゲスト一覧・コメント・返信・リアクション(アクティビティフィード)と個別メッセージがある</t>
        </is>
      </c>
    </row>
    <row r="442">
      <c r="A442" s="16" t="inlineStr">
        <is>
          <t>Partiful</t>
        </is>
      </c>
      <c r="B442" s="16" t="inlineStr">
        <is>
          <t>CR08</t>
        </is>
      </c>
      <c r="C442" s="16" t="inlineStr">
        <is>
          <t>年間まとめ・振り返り共有</t>
        </is>
      </c>
      <c r="D442" s="13" t="inlineStr">
        <is>
          <t>？</t>
        </is>
      </c>
      <c r="E442" s="16" t="inlineStr">
        <is>
          <t>なし</t>
        </is>
      </c>
      <c r="F442" s="16" t="inlineStr"/>
      <c r="G442" s="16" t="inlineStr">
        <is>
          <t>Wrapped型の振り返り機能は公式ページ・ヘルプ・検索で確認できず(2026-10確認)</t>
        </is>
      </c>
    </row>
    <row r="443">
      <c r="A443" s="16" t="inlineStr">
        <is>
          <t>Partiful</t>
        </is>
      </c>
      <c r="B443" s="16" t="inlineStr">
        <is>
          <t>TS01</t>
        </is>
      </c>
      <c r="C443" s="16" t="inlineStr">
        <is>
          <t>本人確認・認証</t>
        </is>
      </c>
      <c r="D443" s="13" t="inlineStr">
        <is>
          <t>✅</t>
        </is>
      </c>
      <c r="E443" s="16" t="inlineStr">
        <is>
          <t>公式</t>
        </is>
      </c>
      <c r="F443" s="17" t="inlineStr">
        <is>
          <t>https://help.partiful.com/en-us/articles/15525626-i-m-not-receiving-the-text-verification-codes-to-log-in</t>
        </is>
      </c>
      <c r="G443" s="16" t="inlineStr">
        <is>
          <t>ログインは電話番号宛てのSMS認証コード。実名・ID確認はなし</t>
        </is>
      </c>
    </row>
    <row r="444">
      <c r="A444" s="16" t="inlineStr">
        <is>
          <t>Partiful</t>
        </is>
      </c>
      <c r="B444" s="16" t="inlineStr">
        <is>
          <t>TS02</t>
        </is>
      </c>
      <c r="C444" s="16" t="inlineStr">
        <is>
          <t>主催者の審査・認定</t>
        </is>
      </c>
      <c r="D444" s="13" t="inlineStr">
        <is>
          <t>？</t>
        </is>
      </c>
      <c r="E444" s="16" t="inlineStr">
        <is>
          <t>なし</t>
        </is>
      </c>
      <c r="F444" s="16" t="inlineStr"/>
      <c r="G444" s="16" t="inlineStr">
        <is>
          <t>主催者の審査・認定バッジは確認できず(チケット販売は米英のホスト限定=15525289。フラグ検知はTrust &amp; Safetyが対応=16823960)</t>
        </is>
      </c>
    </row>
    <row r="445">
      <c r="A445" s="16" t="inlineStr">
        <is>
          <t>Partiful</t>
        </is>
      </c>
      <c r="B445" s="16" t="inlineStr">
        <is>
          <t>TS03</t>
        </is>
      </c>
      <c r="C445" s="16" t="inlineStr">
        <is>
          <t>通報・ブロック・モデレーション</t>
        </is>
      </c>
      <c r="D445" s="13" t="inlineStr">
        <is>
          <t>✅</t>
        </is>
      </c>
      <c r="E445" s="16" t="inlineStr">
        <is>
          <t>公式</t>
        </is>
      </c>
      <c r="F445" s="17" t="inlineStr">
        <is>
          <t>https://help.partiful.com/en-us/articles/15525537-how-do-i-report-an-event</t>
        </is>
      </c>
      <c r="G445" s="16" t="inlineStr">
        <is>
          <t>イベント報告(アプリ→メール)、ホストやユーザーのブロック、Trust &amp; Safetyによるフラグ・削除、ディープフェイク報告の記事(16548605の見出し)がある</t>
        </is>
      </c>
    </row>
    <row r="446">
      <c r="A446" s="16" t="inlineStr">
        <is>
          <t>Partiful</t>
        </is>
      </c>
      <c r="B446" s="16" t="inlineStr">
        <is>
          <t>TS04</t>
        </is>
      </c>
      <c r="C446" s="16" t="inlineStr">
        <is>
          <t>ドタキャン対策</t>
        </is>
      </c>
      <c r="D446" s="13" t="inlineStr">
        <is>
          <t>△</t>
        </is>
      </c>
      <c r="E446" s="16" t="inlineStr">
        <is>
          <t>公式</t>
        </is>
      </c>
      <c r="F446" s="17" t="inlineStr">
        <is>
          <t>https://help.partiful.com/en-us/articles/15525401-what-is-your-refund-policy</t>
        </is>
      </c>
      <c r="G446" s="16" t="inlineStr">
        <is>
          <t>チケットは「返金不可」が原則(イベント中止時は全額自動返金)で、ホスト独自の返金ポリシーを購入時に提示できる。有料チケットは米国・英国のホストのみ(地域限定)。欠席料・デポジットは確認できず</t>
        </is>
      </c>
    </row>
    <row r="447">
      <c r="A447" s="16" t="inlineStr">
        <is>
          <t>Partiful</t>
        </is>
      </c>
      <c r="B447" s="16" t="inlineStr">
        <is>
          <t>TS05</t>
        </is>
      </c>
      <c r="C447" s="16" t="inlineStr">
        <is>
          <t>参加者情報の保護</t>
        </is>
      </c>
      <c r="D447" s="13" t="inlineStr">
        <is>
          <t>✅</t>
        </is>
      </c>
      <c r="E447" s="16" t="inlineStr">
        <is>
          <t>公式</t>
        </is>
      </c>
      <c r="F447" s="17" t="inlineStr">
        <is>
          <t>https://help.partiful.com/en-us/articles/15525441-can-i-hide-the-guest-list-or-guest-count-on-the-party-page</t>
        </is>
      </c>
      <c r="G447" s="16" t="inlineStr">
        <is>
          <t>ゲスト一覧・人数の非表示、公開範囲の設定がある。Peekはゲスト一覧非表示や承認制の場合は利用不可(17033211)</t>
        </is>
      </c>
    </row>
    <row r="448">
      <c r="A448" s="16" t="inlineStr">
        <is>
          <t>Partiful</t>
        </is>
      </c>
      <c r="B448" s="16" t="inlineStr">
        <is>
          <t>TS06</t>
        </is>
      </c>
      <c r="C448" s="16" t="inlineStr">
        <is>
          <t>直接取引の抑止</t>
        </is>
      </c>
      <c r="D448" s="13" t="inlineStr">
        <is>
          <t>✅</t>
        </is>
      </c>
      <c r="E448" s="16" t="inlineStr">
        <is>
          <t>公式</t>
        </is>
      </c>
      <c r="F448" s="17" t="inlineStr">
        <is>
          <t>https://help.partiful.com/en-us/articles/16825273-why-can-t-i-link-out-to-promote-events-on-other-platforms</t>
        </is>
      </c>
      <c r="G448" s="16" t="inlineStr">
        <is>
          <t>RSVPとチケットはPartiful上で行う規約で、外部ページへの誘導を禁止。違反イベントはTrust &amp; Safetyがフラグ・削除(16823960)</t>
        </is>
      </c>
    </row>
    <row r="449">
      <c r="A449" s="16" t="inlineStr">
        <is>
          <t>Partiful</t>
        </is>
      </c>
      <c r="B449" s="16" t="inlineStr">
        <is>
          <t>FD01</t>
        </is>
      </c>
      <c r="C449" s="16" t="inlineStr">
        <is>
          <t>メニューの事前注文・選択</t>
        </is>
      </c>
      <c r="D449" s="13" t="inlineStr">
        <is>
          <t>△</t>
        </is>
      </c>
      <c r="E449" s="16" t="inlineStr">
        <is>
          <t>公式</t>
        </is>
      </c>
      <c r="F449" s="17" t="inlineStr">
        <is>
          <t>https://help.partiful.com/en-us/articles/15525424-collecting-guest-info-dietary-restrictions-names-of-1s-etc</t>
        </is>
      </c>
      <c r="G449" s="16" t="inlineStr">
        <is>
          <t>メニュー注文機能はない。RSVP時のアンケートで希望(食事など)を聞くことはできる</t>
        </is>
      </c>
    </row>
    <row r="450">
      <c r="A450" s="16" t="inlineStr">
        <is>
          <t>Partiful</t>
        </is>
      </c>
      <c r="B450" s="16" t="inlineStr">
        <is>
          <t>FD02</t>
        </is>
      </c>
      <c r="C450" s="16" t="inlineStr">
        <is>
          <t>アレルギー・食の好みの登録</t>
        </is>
      </c>
      <c r="D450" s="13" t="inlineStr">
        <is>
          <t>△</t>
        </is>
      </c>
      <c r="E450" s="16" t="inlineStr">
        <is>
          <t>公式</t>
        </is>
      </c>
      <c r="F450" s="17" t="inlineStr">
        <is>
          <t>https://help.partiful.com/en-us/articles/15525424-collecting-guest-info-dietary-restrictions-names-of-1s-etc</t>
        </is>
      </c>
      <c r="G450" s="16" t="inlineStr">
        <is>
          <t>ヘルプの見出しにdietary restrictionsの収集例がある。専用のアレルギー登録・店舗共有はなく、汎用アンケートで代用。回答はホストのみ閲覧</t>
        </is>
      </c>
    </row>
    <row r="451">
      <c r="A451" s="16" t="inlineStr">
        <is>
          <t>Partiful</t>
        </is>
      </c>
      <c r="B451" s="16" t="inlineStr">
        <is>
          <t>FD03</t>
        </is>
      </c>
      <c r="C451" s="16" t="inlineStr">
        <is>
          <t>店舗向け管理画面</t>
        </is>
      </c>
      <c r="D451" s="13" t="inlineStr">
        <is>
          <t>？</t>
        </is>
      </c>
      <c r="E451" s="16" t="inlineStr">
        <is>
          <t>なし</t>
        </is>
      </c>
      <c r="F451" s="16" t="inlineStr"/>
      <c r="G451" s="16" t="inlineStr">
        <is>
          <t>店舗向けの管理画面は確認できず(イベント主催者向けの機能のみ。非対応の明記もない)</t>
        </is>
      </c>
    </row>
    <row r="452">
      <c r="A452" s="16" t="inlineStr">
        <is>
          <t>Partiful</t>
        </is>
      </c>
      <c r="B452" s="16" t="inlineStr">
        <is>
          <t>FD04</t>
        </is>
      </c>
      <c r="C452" s="16" t="inlineStr">
        <is>
          <t>人数確定の店舗通知・集計</t>
        </is>
      </c>
      <c r="D452" s="13" t="inlineStr">
        <is>
          <t>？</t>
        </is>
      </c>
      <c r="E452" s="16" t="inlineStr">
        <is>
          <t>なし</t>
        </is>
      </c>
      <c r="F452" s="16" t="inlineStr"/>
      <c r="G452" s="16" t="inlineStr">
        <is>
          <t>人数・注文を店舗へ自動通知・集計する機能は確認できず</t>
        </is>
      </c>
    </row>
    <row r="453">
      <c r="A453" s="16" t="inlineStr">
        <is>
          <t>Partiful</t>
        </is>
      </c>
      <c r="B453" s="16" t="inlineStr">
        <is>
          <t>FD05</t>
        </is>
      </c>
      <c r="C453" s="16" t="inlineStr">
        <is>
          <t>席の確保・貸切の連携</t>
        </is>
      </c>
      <c r="D453" s="13" t="inlineStr">
        <is>
          <t>？</t>
        </is>
      </c>
      <c r="E453" s="16" t="inlineStr">
        <is>
          <t>なし</t>
        </is>
      </c>
      <c r="F453" s="16" t="inlineStr"/>
      <c r="G453" s="16" t="inlineStr">
        <is>
          <t>店舗の席・貸切の確保と連動する機能は確認できず</t>
        </is>
      </c>
    </row>
    <row r="454">
      <c r="A454" s="16" t="inlineStr">
        <is>
          <t>Partiful</t>
        </is>
      </c>
      <c r="B454" s="16" t="inlineStr">
        <is>
          <t>FD06</t>
        </is>
      </c>
      <c r="C454" s="16" t="inlineStr">
        <is>
          <t>コース・固定メニュー</t>
        </is>
      </c>
      <c r="D454" s="13" t="inlineStr">
        <is>
          <t>？</t>
        </is>
      </c>
      <c r="E454" s="16" t="inlineStr">
        <is>
          <t>なし</t>
        </is>
      </c>
      <c r="F454" s="16" t="inlineStr"/>
      <c r="G454" s="16" t="inlineStr">
        <is>
          <t>コース・固定メニューを選ばせる専用機能は確認できず</t>
        </is>
      </c>
    </row>
    <row r="455">
      <c r="A455" s="16" t="inlineStr">
        <is>
          <t>Partiful</t>
        </is>
      </c>
      <c r="B455" s="16" t="inlineStr">
        <is>
          <t>FD07</t>
        </is>
      </c>
      <c r="C455" s="16" t="inlineStr">
        <is>
          <t>割り勘・個別会計</t>
        </is>
      </c>
      <c r="D455" s="13" t="inlineStr">
        <is>
          <t>△</t>
        </is>
      </c>
      <c r="E455" s="16" t="inlineStr">
        <is>
          <t>公式</t>
        </is>
      </c>
      <c r="F455" s="17" t="inlineStr">
        <is>
          <t>https://help.partiful.com/en-us/articles/15525460-how-do-i-use-the-chip-in-feature</t>
        </is>
      </c>
      <c r="G455" s="16" t="inlineStr">
        <is>
          <t>Chip Inは1人あたり金額を設定しVenmo・Cash App・PayPal等へ誘導して会費を集める。Partifulは支払いを検証しない。個別会計・精算機能ではない</t>
        </is>
      </c>
    </row>
    <row r="456">
      <c r="A456" s="16" t="inlineStr">
        <is>
          <t>Partiful</t>
        </is>
      </c>
      <c r="B456" s="16" t="inlineStr">
        <is>
          <t>FD08</t>
        </is>
      </c>
      <c r="C456" s="16" t="inlineStr">
        <is>
          <t>店探し・店選び支援</t>
        </is>
      </c>
      <c r="D456" s="13" t="inlineStr">
        <is>
          <t>？</t>
        </is>
      </c>
      <c r="E456" s="16" t="inlineStr">
        <is>
          <t>なし</t>
        </is>
      </c>
      <c r="F456" s="16" t="inlineStr"/>
      <c r="G456" s="16" t="inlineStr">
        <is>
          <t>店探し・店選びを支援する機能は確認できず(日程調整のFind a Timeはある=15525423見出し)</t>
        </is>
      </c>
    </row>
    <row r="457">
      <c r="A457" s="16" t="inlineStr">
        <is>
          <t>Partiful</t>
        </is>
      </c>
      <c r="B457" s="16" t="inlineStr">
        <is>
          <t>FD09</t>
        </is>
      </c>
      <c r="C457" s="16" t="inlineStr">
        <is>
          <t>売り切れ・限定数の管理</t>
        </is>
      </c>
      <c r="D457" s="13" t="inlineStr">
        <is>
          <t>△</t>
        </is>
      </c>
      <c r="E457" s="16" t="inlineStr">
        <is>
          <t>公式</t>
        </is>
      </c>
      <c r="F457" s="17" t="inlineStr">
        <is>
          <t>https://help.partiful.com/en-us/articles/15525379-how-can-i-limit-group-size</t>
        </is>
      </c>
      <c r="G457" s="16" t="inlineStr">
        <is>
          <t>定員・待機リスト・+1数の上限は設定できる。メニュー単位の在庫・限定数管理は確認できず</t>
        </is>
      </c>
    </row>
    <row r="458">
      <c r="A458" s="16" t="inlineStr">
        <is>
          <t>Partiful</t>
        </is>
      </c>
      <c r="B458" s="16" t="inlineStr">
        <is>
          <t>FD10</t>
        </is>
      </c>
      <c r="C458" s="16" t="inlineStr">
        <is>
          <t>提供形態の選択</t>
        </is>
      </c>
      <c r="D458" s="13" t="inlineStr">
        <is>
          <t>？</t>
        </is>
      </c>
      <c r="E458" s="16" t="inlineStr">
        <is>
          <t>なし</t>
        </is>
      </c>
      <c r="F458" s="16" t="inlineStr"/>
      <c r="G458" s="16" t="inlineStr">
        <is>
          <t>イートイン・テイクアウト等の提供形態を選ぶ機能は確認できず</t>
        </is>
      </c>
    </row>
    <row r="459">
      <c r="A459" s="16" t="inlineStr">
        <is>
          <t>Partiful</t>
        </is>
      </c>
      <c r="B459" s="16" t="inlineStr">
        <is>
          <t>MN01</t>
        </is>
      </c>
      <c r="C459" s="16" t="inlineStr">
        <is>
          <t>手数料の明示</t>
        </is>
      </c>
      <c r="D459" s="13" t="inlineStr">
        <is>
          <t>△</t>
        </is>
      </c>
      <c r="E459" s="16" t="inlineStr">
        <is>
          <t>公式</t>
        </is>
      </c>
      <c r="F459" s="17" t="inlineStr">
        <is>
          <t>https://help.partiful.com/en-us/articles/15525398-what-fees-does-partiful-charge</t>
        </is>
      </c>
      <c r="G459" s="16" t="inlineStr">
        <is>
          <t>表示価格が最終金額(税別)で手数料は購入時に別行表示される。料率は非公開(イベント規模・価格で変動)。Luma比較ページは10%+$2/枚と主張(競合発信=二次)</t>
        </is>
      </c>
    </row>
    <row r="460">
      <c r="A460" s="16" t="inlineStr">
        <is>
          <t>Partiful</t>
        </is>
      </c>
      <c r="B460" s="16" t="inlineStr">
        <is>
          <t>MN02</t>
        </is>
      </c>
      <c r="C460" s="16" t="inlineStr">
        <is>
          <t>主催者向け有料プラン</t>
        </is>
      </c>
      <c r="D460" s="13" t="inlineStr">
        <is>
          <t>△</t>
        </is>
      </c>
      <c r="E460" s="16" t="inlineStr">
        <is>
          <t>公式</t>
        </is>
      </c>
      <c r="F460" s="17" t="inlineStr">
        <is>
          <t>https://help.partiful.com/en-us/articles/15525599-does-partiful-cost-money</t>
        </is>
      </c>
      <c r="G460" s="16" t="inlineStr">
        <is>
          <t>コア機能は無料で、主催者向けサブスク・有料プランは確認できず。プレミアム招待デザインの任意購入のみ。参加者向けの有料機能Peekがある(17033211)</t>
        </is>
      </c>
    </row>
    <row r="461">
      <c r="A461" s="16" t="inlineStr">
        <is>
          <t>Partiful</t>
        </is>
      </c>
      <c r="B461" s="16" t="inlineStr">
        <is>
          <t>MN03</t>
        </is>
      </c>
      <c r="C461" s="16" t="inlineStr">
        <is>
          <t>任意チップ・寄付</t>
        </is>
      </c>
      <c r="D461" s="13" t="inlineStr">
        <is>
          <t>△</t>
        </is>
      </c>
      <c r="E461" s="16" t="inlineStr">
        <is>
          <t>公式</t>
        </is>
      </c>
      <c r="F461" s="17" t="inlineStr">
        <is>
          <t>https://help.partiful.com/en-us/articles/15525460-how-do-i-use-the-chip-in-feature</t>
        </is>
      </c>
      <c r="G461" s="16" t="inlineStr">
        <is>
          <t>Chip Inは「払える額でよい」設定が可能(外部決済・未検証)。チケット購入への任意チップ上乗せは確認できず</t>
        </is>
      </c>
    </row>
    <row r="462">
      <c r="A462" s="16" t="inlineStr">
        <is>
          <t>Partiful</t>
        </is>
      </c>
      <c r="B462" s="16" t="inlineStr">
        <is>
          <t>MN04</t>
        </is>
      </c>
      <c r="C462" s="16" t="inlineStr">
        <is>
          <t>クーポン・割引コード</t>
        </is>
      </c>
      <c r="D462" s="13" t="inlineStr">
        <is>
          <t>△</t>
        </is>
      </c>
      <c r="E462" s="16" t="inlineStr">
        <is>
          <t>公式</t>
        </is>
      </c>
      <c r="F462" s="17" t="inlineStr">
        <is>
          <t>https://help.partiful.com/en-us/articles/15525305-how-do-i-create-a-promo-code</t>
        </is>
      </c>
      <c r="G462" s="16" t="inlineStr">
        <is>
          <t>プロモコード(割合1〜100%または定額、利用上限、券種限定)を設定できる。有料チケット販売は米国・英国のホストのみ(地域限定)</t>
        </is>
      </c>
    </row>
    <row r="463">
      <c r="A463" s="16" t="inlineStr">
        <is>
          <t>Partiful</t>
        </is>
      </c>
      <c r="B463" s="16" t="inlineStr">
        <is>
          <t>MN05</t>
        </is>
      </c>
      <c r="C463" s="16" t="inlineStr">
        <is>
          <t>ポイント・会員特典</t>
        </is>
      </c>
      <c r="D463" s="13" t="inlineStr">
        <is>
          <t>？</t>
        </is>
      </c>
      <c r="E463" s="16" t="inlineStr">
        <is>
          <t>なし</t>
        </is>
      </c>
      <c r="F463" s="16" t="inlineStr"/>
      <c r="G463" s="16" t="inlineStr">
        <is>
          <t>ポイント・ロイヤルティ・会員特典は確認できず</t>
        </is>
      </c>
    </row>
    <row r="464">
      <c r="A464" s="16" t="inlineStr">
        <is>
          <t>Posh</t>
        </is>
      </c>
      <c r="B464" s="16" t="inlineStr">
        <is>
          <t>DS01</t>
        </is>
      </c>
      <c r="C464" s="16" t="inlineStr">
        <is>
          <t>キーワード・カテゴリ検索</t>
        </is>
      </c>
      <c r="D464" s="13" t="inlineStr">
        <is>
          <t>△</t>
        </is>
      </c>
      <c r="E464" s="16" t="inlineStr">
        <is>
          <t>公式</t>
        </is>
      </c>
      <c r="F464" s="17" t="inlineStr">
        <is>
          <t>https://support.posh.vip/en/articles/10723772-your-guide-to-posh-app-search</t>
        </is>
      </c>
      <c r="G464" s="16" t="inlineStr">
        <is>
          <t>アプリでイベント名・組織・キーワード(3文字以上)を検索できる。検索機能はアプリのみでWeb版では使えないと明記(アプリのみの条件付き)</t>
        </is>
      </c>
    </row>
    <row r="465">
      <c r="A465" s="16" t="inlineStr">
        <is>
          <t>Posh</t>
        </is>
      </c>
      <c r="B465" s="16" t="inlineStr">
        <is>
          <t>DS02</t>
        </is>
      </c>
      <c r="C465" s="16" t="inlineStr">
        <is>
          <t>地域・地図検索</t>
        </is>
      </c>
      <c r="D465" s="13" t="inlineStr">
        <is>
          <t>✅</t>
        </is>
      </c>
      <c r="E465" s="16" t="inlineStr">
        <is>
          <t>公式</t>
        </is>
      </c>
      <c r="F465" s="17" t="inlineStr">
        <is>
          <t>https://posh.vip/explore</t>
        </is>
      </c>
      <c r="G465" s="16" t="inlineStr">
        <is>
          <t>Exploreに「Nearby」フィルタがあり、位置情報のないイベントは「All Locations」にのみ出る(15089963)。地図表示は未確認</t>
        </is>
      </c>
    </row>
    <row r="466">
      <c r="A466" s="16" t="inlineStr">
        <is>
          <t>Posh</t>
        </is>
      </c>
      <c r="B466" s="16" t="inlineStr">
        <is>
          <t>DS03</t>
        </is>
      </c>
      <c r="C466" s="16" t="inlineStr">
        <is>
          <t>日付・価格等の絞り込み</t>
        </is>
      </c>
      <c r="D466" s="13" t="inlineStr">
        <is>
          <t>△</t>
        </is>
      </c>
      <c r="E466" s="16" t="inlineStr">
        <is>
          <t>公式</t>
        </is>
      </c>
      <c r="F466" s="17" t="inlineStr">
        <is>
          <t>https://support.posh.vip/en/articles/12460155-discover-more-with-the-new-home-tab</t>
        </is>
      </c>
      <c r="G466" s="16" t="inlineStr">
        <is>
          <t>Homeタブのクイックフィルタで日付・価格などを絞れるが、Homeタブは「NYC限定テスト・iOS先行・アプリのみ」。ExploreのWebにも日付・価格の項目表示あり</t>
        </is>
      </c>
    </row>
    <row r="467">
      <c r="A467" s="16" t="inlineStr">
        <is>
          <t>Posh</t>
        </is>
      </c>
      <c r="B467" s="16" t="inlineStr">
        <is>
          <t>DS04</t>
        </is>
      </c>
      <c r="C467" s="16" t="inlineStr">
        <is>
          <t>パーソナライズ推薦</t>
        </is>
      </c>
      <c r="D467" s="13" t="inlineStr">
        <is>
          <t>△</t>
        </is>
      </c>
      <c r="E467" s="16" t="inlineStr">
        <is>
          <t>公式</t>
        </is>
      </c>
      <c r="F467" s="17" t="inlineStr">
        <is>
          <t>https://support.posh.vip/en/articles/12460155-discover-more-with-the-new-home-tab</t>
        </is>
      </c>
      <c r="G467" s="16" t="inlineStr">
        <is>
          <t>Homeタブの「For You」が個人向けの推薦(NYC限定テスト)。プラットフォーム紹介ページはMarketplaceフィードがアルゴリズムとカテゴリで露出すると記述</t>
        </is>
      </c>
    </row>
    <row r="468">
      <c r="A468" s="16" t="inlineStr">
        <is>
          <t>Posh</t>
        </is>
      </c>
      <c r="B468" s="16" t="inlineStr">
        <is>
          <t>DS05</t>
        </is>
      </c>
      <c r="C468" s="16" t="inlineStr">
        <is>
          <t>フォロー</t>
        </is>
      </c>
      <c r="D468" s="13" t="inlineStr">
        <is>
          <t>✅</t>
        </is>
      </c>
      <c r="E468" s="16" t="inlineStr">
        <is>
          <t>公式</t>
        </is>
      </c>
      <c r="F468" s="17" t="inlineStr">
        <is>
          <t>https://support.posh.vip/en/articles/10723770-unfollow-users-and-organizers</t>
        </is>
      </c>
      <c r="G468" s="16" t="inlineStr">
        <is>
          <t>Followingで主催者・ユーザーをフォロー/解除できる。新着通知の有無は公式ヘルプで未確認</t>
        </is>
      </c>
    </row>
    <row r="469">
      <c r="A469" s="16" t="inlineStr">
        <is>
          <t>Posh</t>
        </is>
      </c>
      <c r="B469" s="16" t="inlineStr">
        <is>
          <t>DS06</t>
        </is>
      </c>
      <c r="C469" s="16" t="inlineStr">
        <is>
          <t>ブックマーク・ウィッシュリスト</t>
        </is>
      </c>
      <c r="D469" s="13" t="inlineStr">
        <is>
          <t>✅</t>
        </is>
      </c>
      <c r="E469" s="16" t="inlineStr">
        <is>
          <t>公式</t>
        </is>
      </c>
      <c r="F469" s="17" t="inlineStr">
        <is>
          <t>https://support.posh.vip/en/articles/10723771-retrieve-your-saved-events-with-ease</t>
        </is>
      </c>
      <c r="G469" s="16" t="inlineStr">
        <is>
          <t>アプリのExploreにSavedタブ(保存したイベント)がある</t>
        </is>
      </c>
    </row>
    <row r="470">
      <c r="A470" s="16" t="inlineStr">
        <is>
          <t>Posh</t>
        </is>
      </c>
      <c r="B470" s="16" t="inlineStr">
        <is>
          <t>DS07</t>
        </is>
      </c>
      <c r="C470" s="16" t="inlineStr">
        <is>
          <t>公開ディレクトリ・都市×カテゴリページ</t>
        </is>
      </c>
      <c r="D470" s="13" t="inlineStr">
        <is>
          <t>△</t>
        </is>
      </c>
      <c r="E470" s="16" t="inlineStr">
        <is>
          <t>公式</t>
        </is>
      </c>
      <c r="F470" s="17" t="inlineStr">
        <is>
          <t>https://posh.vip/explore</t>
        </is>
      </c>
      <c r="G470" s="16" t="inlineStr">
        <is>
          <t>公開のExploreページ(Featured/Trending)と主催者プロフィールはあるが、都市×カテゴリ別の公開一覧ページは確認できず。新規ページは検索インデックスに遅延あり(15089963)</t>
        </is>
      </c>
    </row>
    <row r="471">
      <c r="A471" s="16" t="inlineStr">
        <is>
          <t>Posh</t>
        </is>
      </c>
      <c r="B471" s="16" t="inlineStr">
        <is>
          <t>DS08</t>
        </is>
      </c>
      <c r="C471" s="16" t="inlineStr">
        <is>
          <t>キュレーション・特集</t>
        </is>
      </c>
      <c r="D471" s="13" t="inlineStr">
        <is>
          <t>✅</t>
        </is>
      </c>
      <c r="E471" s="16" t="inlineStr">
        <is>
          <t>公式</t>
        </is>
      </c>
      <c r="F471" s="17" t="inlineStr">
        <is>
          <t>https://support.posh.vip/en/articles/12460155-discover-more-with-the-new-home-tab</t>
        </is>
      </c>
      <c r="G471" s="16" t="inlineStr">
        <is>
          <t>Posh Selects(運営が注目するイベント)、Featured events、Trendingがある。主催者インタビュー等の編集記事も公開(posh.vip/)</t>
        </is>
      </c>
    </row>
    <row r="472">
      <c r="A472" s="16" t="inlineStr">
        <is>
          <t>Posh</t>
        </is>
      </c>
      <c r="B472" s="16" t="inlineStr">
        <is>
          <t>JN01</t>
        </is>
      </c>
      <c r="C472" s="16" t="inlineStr">
        <is>
          <t>アカウント不要の申込</t>
        </is>
      </c>
      <c r="D472" s="13" t="inlineStr">
        <is>
          <t>❌</t>
        </is>
      </c>
      <c r="E472" s="16" t="inlineStr">
        <is>
          <t>公式</t>
        </is>
      </c>
      <c r="F472" s="17" t="inlineStr">
        <is>
          <t>https://support.posh.vip/en/articles/10723762-how-to-purchase-tickets-with-posh</t>
        </is>
      </c>
      <c r="G472" s="16" t="inlineStr">
        <is>
          <t>チケット購入時はログインが必要と公式ヘルプが明記(アカウントはメール・電話のOTPで自動作成)。Paylink経由の支払いのみアカウント不要(15075861)</t>
        </is>
      </c>
    </row>
    <row r="473">
      <c r="A473" s="16" t="inlineStr">
        <is>
          <t>Posh</t>
        </is>
      </c>
      <c r="B473" s="16" t="inlineStr">
        <is>
          <t>JN02</t>
        </is>
      </c>
      <c r="C473" s="16" t="inlineStr">
        <is>
          <t>簡易ログイン</t>
        </is>
      </c>
      <c r="D473" s="13" t="inlineStr">
        <is>
          <t>✅</t>
        </is>
      </c>
      <c r="E473" s="16" t="inlineStr">
        <is>
          <t>公式</t>
        </is>
      </c>
      <c r="F473" s="17" t="inlineStr">
        <is>
          <t>https://support.posh.vip/en/articles/12005810-getting-started-on-posh-create-an-account-log-in</t>
        </is>
      </c>
      <c r="G473" s="16" t="inlineStr">
        <is>
          <t>パスワードなし。電話またはメールのワンタイムコードでログインする(Apple・Google連携の記述はなし)</t>
        </is>
      </c>
    </row>
    <row r="474">
      <c r="A474" s="16" t="inlineStr">
        <is>
          <t>Posh</t>
        </is>
      </c>
      <c r="B474" s="16" t="inlineStr">
        <is>
          <t>JN03</t>
        </is>
      </c>
      <c r="C474" s="16" t="inlineStr">
        <is>
          <t>承認制・参加申請</t>
        </is>
      </c>
      <c r="D474" s="13" t="inlineStr">
        <is>
          <t>✅</t>
        </is>
      </c>
      <c r="E474" s="16" t="inlineStr">
        <is>
          <t>公式</t>
        </is>
      </c>
      <c r="F474" s="17" t="inlineStr">
        <is>
          <t>https://support.posh.vip/en/articles/15075671-ticket-management-creating-ticket-tiers-groups-and-advanced-toggles</t>
        </is>
      </c>
      <c r="G474" s="16" t="inlineStr">
        <is>
          <t>Require Approvalで購入と無料RSVPを承認制にできる。承認までチケットは発行されない(10723762)</t>
        </is>
      </c>
    </row>
    <row r="475">
      <c r="A475" s="16" t="inlineStr">
        <is>
          <t>Posh</t>
        </is>
      </c>
      <c r="B475" s="16" t="inlineStr">
        <is>
          <t>JN04</t>
        </is>
      </c>
      <c r="C475" s="16" t="inlineStr">
        <is>
          <t>ウェイトリスト</t>
        </is>
      </c>
      <c r="D475" s="13" t="inlineStr">
        <is>
          <t>△</t>
        </is>
      </c>
      <c r="E475" s="16" t="inlineStr">
        <is>
          <t>公式</t>
        </is>
      </c>
      <c r="F475" s="17" t="inlineStr">
        <is>
          <t>https://support.posh.vip/en/articles/12063814-waitlist-setup-guide-for-organizers</t>
        </is>
      </c>
      <c r="G475" s="16" t="inlineStr">
        <is>
          <t>売り切れ券種にウェイトリスト(申込順に購入オファー、期限30分が既定)。購入者はチケットを返却してプールに戻せる(11880124)。ウェイトリスト経由の購入はPoshアプリのみ(アプリのみの条件付き)</t>
        </is>
      </c>
    </row>
    <row r="476">
      <c r="A476" s="16" t="inlineStr">
        <is>
          <t>Posh</t>
        </is>
      </c>
      <c r="B476" s="16" t="inlineStr">
        <is>
          <t>JN05</t>
        </is>
      </c>
      <c r="C476" s="16" t="inlineStr">
        <is>
          <t>定員・残席の表示</t>
        </is>
      </c>
      <c r="D476" s="13" t="inlineStr">
        <is>
          <t>？</t>
        </is>
      </c>
      <c r="E476" s="16" t="inlineStr">
        <is>
          <t>なし</t>
        </is>
      </c>
      <c r="F476" s="16" t="inlineStr"/>
      <c r="G476" s="16" t="inlineStr">
        <is>
          <t>Mark as sold outと在庫上限はあるが、参加者向けの残席表示は公式ヘルプで確認できず</t>
        </is>
      </c>
    </row>
    <row r="477">
      <c r="A477" s="16" t="inlineStr">
        <is>
          <t>Posh</t>
        </is>
      </c>
      <c r="B477" s="16" t="inlineStr">
        <is>
          <t>JN06</t>
        </is>
      </c>
      <c r="C477" s="16" t="inlineStr">
        <is>
          <t>追加質問・同行者の入力</t>
        </is>
      </c>
      <c r="D477" s="13" t="inlineStr">
        <is>
          <t>✅</t>
        </is>
      </c>
      <c r="E477" s="16" t="inlineStr">
        <is>
          <t>公式</t>
        </is>
      </c>
      <c r="F477" s="17" t="inlineStr">
        <is>
          <t>https://support.posh.vip/en/articles/15076421-checkout-settings-customize-the-attendee-s-experience</t>
        </is>
      </c>
      <c r="G477" s="16" t="inlineStr">
        <is>
          <t>チェックアウト質問(必須指定・券種限定)を設定できる。同行者ごとの個別入力は未確認</t>
        </is>
      </c>
    </row>
    <row r="478">
      <c r="A478" s="16" t="inlineStr">
        <is>
          <t>Posh</t>
        </is>
      </c>
      <c r="B478" s="16" t="inlineStr">
        <is>
          <t>JN07</t>
        </is>
      </c>
      <c r="C478" s="16" t="inlineStr">
        <is>
          <t>参加者のセルフキャンセル</t>
        </is>
      </c>
      <c r="D478" s="13" t="inlineStr">
        <is>
          <t>△</t>
        </is>
      </c>
      <c r="E478" s="16" t="inlineStr">
        <is>
          <t>公式</t>
        </is>
      </c>
      <c r="F478" s="17" t="inlineStr">
        <is>
          <t>https://support.posh.vip/en/articles/10723777-how-to-request-ticket-refunds</t>
        </is>
      </c>
      <c r="G478" s="16" t="inlineStr">
        <is>
          <t>購入者が返金を申請し主催者が判断する。売り切れ時はウェイトリスト返却で再販できれば自動返金(11880124)。無料チケットは対象外、Poshの手数料は返金不可</t>
        </is>
      </c>
    </row>
    <row r="479">
      <c r="A479" s="16" t="inlineStr">
        <is>
          <t>Posh</t>
        </is>
      </c>
      <c r="B479" s="16" t="inlineStr">
        <is>
          <t>JN08</t>
        </is>
      </c>
      <c r="C479" s="16" t="inlineStr">
        <is>
          <t>カレンダー追加</t>
        </is>
      </c>
      <c r="D479" s="13" t="inlineStr">
        <is>
          <t>✅</t>
        </is>
      </c>
      <c r="E479" s="16" t="inlineStr">
        <is>
          <t>公式</t>
        </is>
      </c>
      <c r="F479" s="17" t="inlineStr">
        <is>
          <t>https://support.posh.vip/en/articles/15076421-checkout-settings-customize-the-attendee-s-experience</t>
        </is>
      </c>
      <c r="G479" s="16" t="inlineStr">
        <is>
          <t>確認メッセージが確認ページ・領収メール・カレンダー招待に載るとヘルプが記述。カレンダー連携の詳細説明は確認できず(根拠は弱い)</t>
        </is>
      </c>
    </row>
    <row r="480">
      <c r="A480" s="16" t="inlineStr">
        <is>
          <t>Posh</t>
        </is>
      </c>
      <c r="B480" s="16" t="inlineStr">
        <is>
          <t>JN09</t>
        </is>
      </c>
      <c r="C480" s="16" t="inlineStr">
        <is>
          <t>開催前リマインド</t>
        </is>
      </c>
      <c r="D480" s="13" t="inlineStr">
        <is>
          <t>△</t>
        </is>
      </c>
      <c r="E480" s="16" t="inlineStr">
        <is>
          <t>公式</t>
        </is>
      </c>
      <c r="F480" s="17" t="inlineStr">
        <is>
          <t>https://support.posh.vip/en/articles/15089436-sms-campaigns-messaging-guidelines-best-practices</t>
        </is>
      </c>
      <c r="G480" s="16" t="inlineStr">
        <is>
          <t>イベント更新などのSMS取引通知は届く。開催前の定時リマインドの公式記述は確認できず。カゴ落ちはメール・プッシュで通知(10723762)</t>
        </is>
      </c>
    </row>
    <row r="481">
      <c r="A481" s="16" t="inlineStr">
        <is>
          <t>Posh</t>
        </is>
      </c>
      <c r="B481" s="16" t="inlineStr">
        <is>
          <t>JN10</t>
        </is>
      </c>
      <c r="C481" s="16" t="inlineStr">
        <is>
          <t>QRチケット・当日受付</t>
        </is>
      </c>
      <c r="D481" s="13" t="inlineStr">
        <is>
          <t>✅</t>
        </is>
      </c>
      <c r="E481" s="16" t="inlineStr">
        <is>
          <t>公式</t>
        </is>
      </c>
      <c r="F481" s="17" t="inlineStr">
        <is>
          <t>https://support.posh.vip/en/articles/15090296-scanning-tickets-in-posh-two-ways-to-run-your-event-door</t>
        </is>
      </c>
      <c r="G481" s="16" t="inlineStr">
        <is>
          <t>チケットはアプリ・Webに表示され、複数枚はメールのPDFに枚数分のQR。スキャナーPINまたはDoorperson権限で受付</t>
        </is>
      </c>
    </row>
    <row r="482">
      <c r="A482" s="16" t="inlineStr">
        <is>
          <t>Posh</t>
        </is>
      </c>
      <c r="B482" s="16" t="inlineStr">
        <is>
          <t>JN11</t>
        </is>
      </c>
      <c r="C482" s="16" t="inlineStr">
        <is>
          <t>参加者一覧の閲覧</t>
        </is>
      </c>
      <c r="D482" s="13" t="inlineStr">
        <is>
          <t>✅</t>
        </is>
      </c>
      <c r="E482" s="16" t="inlineStr">
        <is>
          <t>公式</t>
        </is>
      </c>
      <c r="F482" s="17" t="inlineStr">
        <is>
          <t>https://support.posh.vip/en/articles/10723775-take-control-of-your-privacy-settings</t>
        </is>
      </c>
      <c r="G482" s="16" t="inlineStr">
        <is>
          <t>主催者が公開するとWho's Goingに表示される。参加者は自分の表示可否を設定できる</t>
        </is>
      </c>
    </row>
    <row r="483">
      <c r="A483" s="16" t="inlineStr">
        <is>
          <t>Posh</t>
        </is>
      </c>
      <c r="B483" s="16" t="inlineStr">
        <is>
          <t>JN12</t>
        </is>
      </c>
      <c r="C483" s="16" t="inlineStr">
        <is>
          <t>イベント後の体験</t>
        </is>
      </c>
      <c r="D483" s="13" t="inlineStr">
        <is>
          <t>△</t>
        </is>
      </c>
      <c r="E483" s="16" t="inlineStr">
        <is>
          <t>公式</t>
        </is>
      </c>
      <c r="F483" s="17" t="inlineStr">
        <is>
          <t>https://support.posh.vip/en/articles/15089436-sms-campaigns-messaging-guidelines-best-practices</t>
        </is>
      </c>
      <c r="G483" s="16" t="inlineStr">
        <is>
          <t>イベント終了後3日まで購入者へSMSを送れる。写真・レビュー・アルバムは確認できず</t>
        </is>
      </c>
    </row>
    <row r="484">
      <c r="A484" s="16" t="inlineStr">
        <is>
          <t>Posh</t>
        </is>
      </c>
      <c r="B484" s="16" t="inlineStr">
        <is>
          <t>SH01</t>
        </is>
      </c>
      <c r="C484" s="16" t="inlineStr">
        <is>
          <t>共有用URL・OGPカード</t>
        </is>
      </c>
      <c r="D484" s="13" t="inlineStr">
        <is>
          <t>△</t>
        </is>
      </c>
      <c r="E484" s="16" t="inlineStr">
        <is>
          <t>公式</t>
        </is>
      </c>
      <c r="F484" s="17" t="inlineStr">
        <is>
          <t>https://posh.vip/</t>
        </is>
      </c>
      <c r="G484" s="16" t="inlineStr">
        <is>
          <t>各イベントに共有できる公開ページがある。画像付きOGPカードの公式説明は確認できず</t>
        </is>
      </c>
    </row>
    <row r="485">
      <c r="A485" s="16" t="inlineStr">
        <is>
          <t>Posh</t>
        </is>
      </c>
      <c r="B485" s="16" t="inlineStr">
        <is>
          <t>SH02</t>
        </is>
      </c>
      <c r="C485" s="16" t="inlineStr">
        <is>
          <t>SNS・メッセージ共有ボタン</t>
        </is>
      </c>
      <c r="D485" s="13" t="inlineStr">
        <is>
          <t>△</t>
        </is>
      </c>
      <c r="E485" s="16" t="inlineStr">
        <is>
          <t>公式</t>
        </is>
      </c>
      <c r="F485" s="17" t="inlineStr">
        <is>
          <t>https://posh.vip/</t>
        </is>
      </c>
      <c r="G485" s="16" t="inlineStr">
        <is>
          <t>公式サイトの利用者談に「アプリから友人へイベントを送る」とある。共有ボタンの公式説明は確認できず</t>
        </is>
      </c>
    </row>
    <row r="486">
      <c r="A486" s="16" t="inlineStr">
        <is>
          <t>Posh</t>
        </is>
      </c>
      <c r="B486" s="16" t="inlineStr">
        <is>
          <t>SH03</t>
        </is>
      </c>
      <c r="C486" s="16" t="inlineStr">
        <is>
          <t>友人・同行者の招待導線</t>
        </is>
      </c>
      <c r="D486" s="13" t="inlineStr">
        <is>
          <t>✅</t>
        </is>
      </c>
      <c r="E486" s="16" t="inlineStr">
        <is>
          <t>公式</t>
        </is>
      </c>
      <c r="F486" s="17" t="inlineStr">
        <is>
          <t>https://posh.vip/university/post/a-guide-to-kickback-at-posh</t>
        </is>
      </c>
      <c r="G486" s="16" t="inlineStr">
        <is>
          <t>購入後にTurn Invites into Incomeで紹介リンクを提示する。チケット譲渡(電話番号宛て)も可(10723763)。グロース根拠あり(Kickbackとして既存ノート)</t>
        </is>
      </c>
    </row>
    <row r="487">
      <c r="A487" s="16" t="inlineStr">
        <is>
          <t>Posh</t>
        </is>
      </c>
      <c r="B487" s="16" t="inlineStr">
        <is>
          <t>SH04</t>
        </is>
      </c>
      <c r="C487" s="16" t="inlineStr">
        <is>
          <t>紹介リンク・紹介の可視化</t>
        </is>
      </c>
      <c r="D487" s="13" t="inlineStr">
        <is>
          <t>✅</t>
        </is>
      </c>
      <c r="E487" s="16" t="inlineStr">
        <is>
          <t>公式</t>
        </is>
      </c>
      <c r="F487" s="17" t="inlineStr">
        <is>
          <t>https://posh.vip/university/post/a-guide-to-kickback-at-posh</t>
        </is>
      </c>
      <c r="G487" s="16" t="inlineStr">
        <is>
          <t>Kickbackダッシュボードで紹介経由の売上・コンバージョンを追跡。トラッキングリンクとHost sales板でも流入元を追跡(15077072)。報酬あり(Poshが報酬額の20%を徴収)。グロース根拠あり</t>
        </is>
      </c>
    </row>
    <row r="488">
      <c r="A488" s="16" t="inlineStr">
        <is>
          <t>Posh</t>
        </is>
      </c>
      <c r="B488" s="16" t="inlineStr">
        <is>
          <t>SH05</t>
        </is>
      </c>
      <c r="C488" s="16" t="inlineStr">
        <is>
          <t>連絡先・SNS連携で友人発見</t>
        </is>
      </c>
      <c r="D488" s="13" t="inlineStr">
        <is>
          <t>△</t>
        </is>
      </c>
      <c r="E488" s="16" t="inlineStr">
        <is>
          <t>二次</t>
        </is>
      </c>
      <c r="F488" s="17" t="inlineStr">
        <is>
          <t>https://fortune.com/2026/03/19/exclusive-posh-lands-37m-series-b-what-are-we-doing-tonight-problem/</t>
        </is>
      </c>
      <c r="G488" s="16" t="inlineStr">
        <is>
          <t>二次: 友人の動きに基づくフィードとソーシャルなゲストリストを報道が記述(既存ノート03)。公式ヘルプのHomeタブは友人セクションを「今後追加」としており連絡先同期は未確認</t>
        </is>
      </c>
    </row>
    <row r="489">
      <c r="A489" s="16" t="inlineStr">
        <is>
          <t>Posh</t>
        </is>
      </c>
      <c r="B489" s="16" t="inlineStr">
        <is>
          <t>SH06</t>
        </is>
      </c>
      <c r="C489" s="16" t="inlineStr">
        <is>
          <t>社会的証明の表示</t>
        </is>
      </c>
      <c r="D489" s="13" t="inlineStr">
        <is>
          <t>✅</t>
        </is>
      </c>
      <c r="E489" s="16" t="inlineStr">
        <is>
          <t>公式</t>
        </is>
      </c>
      <c r="F489" s="17" t="inlineStr">
        <is>
          <t>https://posh.vip/</t>
        </is>
      </c>
      <c r="G489" s="16" t="inlineStr">
        <is>
          <t>イベントカードに参加予定者と人数を表示する。ゲスト一覧の公開は主催者設定(10723775)</t>
        </is>
      </c>
    </row>
    <row r="490">
      <c r="A490" s="16" t="inlineStr">
        <is>
          <t>Posh</t>
        </is>
      </c>
      <c r="B490" s="16" t="inlineStr">
        <is>
          <t>SH07</t>
        </is>
      </c>
      <c r="C490" s="16" t="inlineStr">
        <is>
          <t>QR・短縮URL・チラシ生成</t>
        </is>
      </c>
      <c r="D490" s="13" t="inlineStr">
        <is>
          <t>✅</t>
        </is>
      </c>
      <c r="E490" s="16" t="inlineStr">
        <is>
          <t>公式</t>
        </is>
      </c>
      <c r="F490" s="17" t="inlineStr">
        <is>
          <t>https://support.posh.vip/en/articles/15076349-set-up-ad-tracking-pixels-and-promote-your-event</t>
        </is>
      </c>
      <c r="G490" s="16" t="inlineStr">
        <is>
          <t>イベントごとの固有QRコード(PNG)、トラッキングリンク、Kickbackリンクがある。フライヤー仕様は15089963</t>
        </is>
      </c>
    </row>
    <row r="491">
      <c r="A491" s="16" t="inlineStr">
        <is>
          <t>Posh</t>
        </is>
      </c>
      <c r="B491" s="16" t="inlineStr">
        <is>
          <t>SH08</t>
        </is>
      </c>
      <c r="C491" s="16" t="inlineStr">
        <is>
          <t>埋め込みウィジェット</t>
        </is>
      </c>
      <c r="D491" s="13" t="inlineStr">
        <is>
          <t>✅</t>
        </is>
      </c>
      <c r="E491" s="16" t="inlineStr">
        <is>
          <t>公式</t>
        </is>
      </c>
      <c r="F491" s="17" t="inlineStr">
        <is>
          <t>https://support.posh.vip/en/articles/15076421-checkout-settings-customize-the-attendee-s-experience</t>
        </is>
      </c>
      <c r="G491" s="16" t="inlineStr">
        <is>
          <t>Embed event iFrameで外部サイトにチケット選択を埋め込める(購入はPoshのページへ遷移)</t>
        </is>
      </c>
    </row>
    <row r="492">
      <c r="A492" s="16" t="inlineStr">
        <is>
          <t>Posh</t>
        </is>
      </c>
      <c r="B492" s="16" t="inlineStr">
        <is>
          <t>OP01</t>
        </is>
      </c>
      <c r="C492" s="16" t="inlineStr">
        <is>
          <t>簡単な作成</t>
        </is>
      </c>
      <c r="D492" s="13" t="inlineStr">
        <is>
          <t>△</t>
        </is>
      </c>
      <c r="E492" s="16" t="inlineStr">
        <is>
          <t>公式</t>
        </is>
      </c>
      <c r="F492" s="17" t="inlineStr">
        <is>
          <t>https://support.posh.vip/en/articles/15089963-creating-customizing-and-managing-your-posh-events-the-complete-guide</t>
        </is>
      </c>
      <c r="G492" s="16" t="inlineStr">
        <is>
          <t>作成フロー、ドラフト、複製、フライヤー(静止画・GIF・動画)はある。テンプレートや所要時間の公式記述は確認できず</t>
        </is>
      </c>
    </row>
    <row r="493">
      <c r="A493" s="16" t="inlineStr">
        <is>
          <t>Posh</t>
        </is>
      </c>
      <c r="B493" s="16" t="inlineStr">
        <is>
          <t>OP02</t>
        </is>
      </c>
      <c r="C493" s="16" t="inlineStr">
        <is>
          <t>コピー・繰り返し作成</t>
        </is>
      </c>
      <c r="D493" s="13" t="inlineStr">
        <is>
          <t>✅</t>
        </is>
      </c>
      <c r="E493" s="16" t="inlineStr">
        <is>
          <t>公式</t>
        </is>
      </c>
      <c r="F493" s="17" t="inlineStr">
        <is>
          <t>https://support.posh.vip/en/articles/15090389-managing-your-posh-event-series-and-recurring-lineups</t>
        </is>
      </c>
      <c r="G493" s="16" t="inlineStr">
        <is>
          <t>単発イベントの複製(券種は引継ぎ、日付・販売データは非複製)と繰り返しシリーズ(Session n of m)がある。シリーズ自体の複製は不可</t>
        </is>
      </c>
    </row>
    <row r="494">
      <c r="A494" s="16" t="inlineStr">
        <is>
          <t>Posh</t>
        </is>
      </c>
      <c r="B494" s="16" t="inlineStr">
        <is>
          <t>OP03</t>
        </is>
      </c>
      <c r="C494" s="16" t="inlineStr">
        <is>
          <t>下書き・限定公開</t>
        </is>
      </c>
      <c r="D494" s="13" t="inlineStr">
        <is>
          <t>✅</t>
        </is>
      </c>
      <c r="E494" s="16" t="inlineStr">
        <is>
          <t>公式</t>
        </is>
      </c>
      <c r="F494" s="17" t="inlineStr">
        <is>
          <t>https://support.posh.vip/en/articles/15089963-creating-customizing-and-managing-your-posh-events-the-complete-guide</t>
        </is>
      </c>
      <c r="G494" s="16" t="inlineStr">
        <is>
          <t>ドラフト(非公開)、住所の非表示(当日開示)、券種のパスワード保護・非表示、Show on Exploreをオフにして掲載を外せる</t>
        </is>
      </c>
    </row>
    <row r="495">
      <c r="A495" s="16" t="inlineStr">
        <is>
          <t>Posh</t>
        </is>
      </c>
      <c r="B495" s="16" t="inlineStr">
        <is>
          <t>OP04</t>
        </is>
      </c>
      <c r="C495" s="16" t="inlineStr">
        <is>
          <t>AI作成支援</t>
        </is>
      </c>
      <c r="D495" s="13" t="inlineStr">
        <is>
          <t>？</t>
        </is>
      </c>
      <c r="E495" s="16" t="inlineStr">
        <is>
          <t>なし</t>
        </is>
      </c>
      <c r="F495" s="16" t="inlineStr"/>
      <c r="G495" s="16" t="inlineStr">
        <is>
          <t>AI作成支援は確認できず。AI(Posh Atlas、Posh AI beta)は運用Q&amp;Aとデータ分析用で、Atlasは2026-10-13に提供終了(support.posh.vip 14436493)。説明文・画像の生成は記載なし</t>
        </is>
      </c>
    </row>
    <row r="496">
      <c r="A496" s="16" t="inlineStr">
        <is>
          <t>Posh</t>
        </is>
      </c>
      <c r="B496" s="16" t="inlineStr">
        <is>
          <t>OP05</t>
        </is>
      </c>
      <c r="C496" s="16" t="inlineStr">
        <is>
          <t>共同主催・運営メンバー権限</t>
        </is>
      </c>
      <c r="D496" s="13" t="inlineStr">
        <is>
          <t>✅</t>
        </is>
      </c>
      <c r="E496" s="16" t="inlineStr">
        <is>
          <t>公式</t>
        </is>
      </c>
      <c r="F496" s="17" t="inlineStr">
        <is>
          <t>https://support.posh.vip/en/articles/15090297-adding-team-members-and-managing-permissions</t>
        </is>
      </c>
      <c r="G496" s="16" t="inlineStr">
        <is>
          <t>Admin・Host・Doorpersonの役割と権限を細分化でき、人数制限なし。Hostには個人のトラッキングリンクが自動付与される</t>
        </is>
      </c>
    </row>
    <row r="497">
      <c r="A497" s="16" t="inlineStr">
        <is>
          <t>Posh</t>
        </is>
      </c>
      <c r="B497" s="16" t="inlineStr">
        <is>
          <t>OP06</t>
        </is>
      </c>
      <c r="C497" s="16" t="inlineStr">
        <is>
          <t>参加者管理・名簿出力</t>
        </is>
      </c>
      <c r="D497" s="13" t="inlineStr">
        <is>
          <t>✅</t>
        </is>
      </c>
      <c r="E497" s="16" t="inlineStr">
        <is>
          <t>公式</t>
        </is>
      </c>
      <c r="F497" s="17" t="inlineStr">
        <is>
          <t>https://support.posh.vip/en/articles/15267292-export-event-report-downloading-your-attendee-info</t>
        </is>
      </c>
      <c r="G497" s="16" t="inlineStr">
        <is>
          <t>イベント単位のCSV出力(列を選択。氏名・メール・電話・券種・スキャン済み等)。組織横断の出力は不可</t>
        </is>
      </c>
    </row>
    <row r="498">
      <c r="A498" s="16" t="inlineStr">
        <is>
          <t>Posh</t>
        </is>
      </c>
      <c r="B498" s="16" t="inlineStr">
        <is>
          <t>OP07</t>
        </is>
      </c>
      <c r="C498" s="16" t="inlineStr">
        <is>
          <t>一斉メッセージ</t>
        </is>
      </c>
      <c r="D498" s="13" t="inlineStr">
        <is>
          <t>✅</t>
        </is>
      </c>
      <c r="E498" s="16" t="inlineStr">
        <is>
          <t>公式</t>
        </is>
      </c>
      <c r="F498" s="17" t="inlineStr">
        <is>
          <t>https://support.posh.vip/en/articles/15089436-sms-campaigns-messaging-guidelines-best-practices</t>
        </is>
      </c>
      <c r="G498" s="16" t="inlineStr">
        <is>
          <t>組織レベルのSMS(過去参加者宛て、30日で最大10回)とイベントレベルのSMS(終了3日後まで無制限)。メールはMailchimp。SMS無料・無制限は自社主張(posh-vs-dice)</t>
        </is>
      </c>
    </row>
    <row r="499">
      <c r="A499" s="16" t="inlineStr">
        <is>
          <t>Posh</t>
        </is>
      </c>
      <c r="B499" s="16" t="inlineStr">
        <is>
          <t>OP08</t>
        </is>
      </c>
      <c r="C499" s="16" t="inlineStr">
        <is>
          <t>当日運営ツール</t>
        </is>
      </c>
      <c r="D499" s="13" t="inlineStr">
        <is>
          <t>✅</t>
        </is>
      </c>
      <c r="E499" s="16" t="inlineStr">
        <is>
          <t>公式</t>
        </is>
      </c>
      <c r="F499" s="17" t="inlineStr">
        <is>
          <t>https://support.posh.vip/en/articles/15090296-scanning-tickets-in-posh-two-ways-to-run-your-event-door</t>
        </is>
      </c>
      <c r="G499" s="16" t="inlineStr">
        <is>
          <t>スキャナーPIN(ログイン不要)とDoorperson招待、プライベートゲストリスト(+1枠、Web・アプリでチェックイン。15075838)</t>
        </is>
      </c>
    </row>
    <row r="500">
      <c r="A500" s="16" t="inlineStr">
        <is>
          <t>Posh</t>
        </is>
      </c>
      <c r="B500" s="16" t="inlineStr">
        <is>
          <t>OP09</t>
        </is>
      </c>
      <c r="C500" s="16" t="inlineStr">
        <is>
          <t>売上・入金管理</t>
        </is>
      </c>
      <c r="D500" s="13" t="inlineStr">
        <is>
          <t>✅</t>
        </is>
      </c>
      <c r="E500" s="16" t="inlineStr">
        <is>
          <t>公式</t>
        </is>
      </c>
      <c r="F500" s="17" t="inlineStr">
        <is>
          <t>https://support.posh.vip/en/articles/15090213-managing-your-balance-payouts-bank-accounts</t>
        </is>
      </c>
      <c r="G500" s="16" t="inlineStr">
        <is>
          <t>残高・入金履歴、標準入金は無料でACH 3〜5営業日、Instant Payoutは手数料5%(GMV$2,000以上)、日次/手動の入金スケジュール。同日入金・資金前貸しは自社記事の主張(posh-vs-dice)</t>
        </is>
      </c>
    </row>
    <row r="501">
      <c r="A501" s="16" t="inlineStr">
        <is>
          <t>Posh</t>
        </is>
      </c>
      <c r="B501" s="16" t="inlineStr">
        <is>
          <t>OP10</t>
        </is>
      </c>
      <c r="C501" s="16" t="inlineStr">
        <is>
          <t>流入・申込の分析</t>
        </is>
      </c>
      <c r="D501" s="13" t="inlineStr">
        <is>
          <t>✅</t>
        </is>
      </c>
      <c r="E501" s="16" t="inlineStr">
        <is>
          <t>公式</t>
        </is>
      </c>
      <c r="F501" s="17" t="inlineStr">
        <is>
          <t>https://support.posh.vip/en/articles/15089965-tracking-performance-analyzing-brand-event-analytics</t>
        </is>
      </c>
      <c r="G501" s="16" t="inlineStr">
        <is>
          <t>売上・閲覧数・コンバージョン・流入元、トラッキングリンク別の集計、Meta・TikTok・Google広告ピクセル(15076349)。UTMの記述は確認できず</t>
        </is>
      </c>
    </row>
    <row r="502">
      <c r="A502" s="16" t="inlineStr">
        <is>
          <t>Posh</t>
        </is>
      </c>
      <c r="B502" s="16" t="inlineStr">
        <is>
          <t>OP11</t>
        </is>
      </c>
      <c r="C502" s="16" t="inlineStr">
        <is>
          <t>主催者ページ・グループページ</t>
        </is>
      </c>
      <c r="D502" s="13" t="inlineStr">
        <is>
          <t>✅</t>
        </is>
      </c>
      <c r="E502" s="16" t="inlineStr">
        <is>
          <t>公式</t>
        </is>
      </c>
      <c r="F502" s="17" t="inlineStr">
        <is>
          <t>https://support.posh.vip/en/articles/15091575-managing-your-organization-settings-public-profiles</t>
        </is>
      </c>
      <c r="G502" s="16" t="inlineStr">
        <is>
          <t>組織の公開プロフィール(カバー・ロゴ・説明・SNS・カスタムURL)があり、累計GMV$10万で認証バッジ。フォロワー・過去イベントの表示は未確認</t>
        </is>
      </c>
    </row>
    <row r="503">
      <c r="A503" s="16" t="inlineStr">
        <is>
          <t>Posh</t>
        </is>
      </c>
      <c r="B503" s="16" t="inlineStr">
        <is>
          <t>OP12</t>
        </is>
      </c>
      <c r="C503" s="16" t="inlineStr">
        <is>
          <t>外部ツール連携・API</t>
        </is>
      </c>
      <c r="D503" s="13" t="inlineStr">
        <is>
          <t>✅</t>
        </is>
      </c>
      <c r="E503" s="16" t="inlineStr">
        <is>
          <t>公式</t>
        </is>
      </c>
      <c r="F503" s="17" t="inlineStr">
        <is>
          <t>https://support.posh.vip/en/articles/15091630-mailchimp-webhooks-connecting-external-tools</t>
        </is>
      </c>
      <c r="G503" s="16" t="inlineStr">
        <is>
          <t>Mailchimp(購入者を自動同期)、Webhook(最大5宛先、Zapier経由)、広告ピクセルがある。公開APIの記述は確認できず</t>
        </is>
      </c>
    </row>
    <row r="504">
      <c r="A504" s="16" t="inlineStr">
        <is>
          <t>Posh</t>
        </is>
      </c>
      <c r="B504" s="16" t="inlineStr">
        <is>
          <t>AC01</t>
        </is>
      </c>
      <c r="C504" s="16" t="inlineStr">
        <is>
          <t>無料イベントは無料</t>
        </is>
      </c>
      <c r="D504" s="13" t="inlineStr">
        <is>
          <t>？</t>
        </is>
      </c>
      <c r="E504" s="16" t="inlineStr">
        <is>
          <t>なし</t>
        </is>
      </c>
      <c r="F504" s="16" t="inlineStr"/>
      <c r="G504" s="16" t="inlineStr">
        <is>
          <t>無料RSVPイベントは作成できるが、手数料・固定費の有無は公式ヘルプ・ToS(terms-of-service)で言及がなく確認できず。Third-Party Linksは掲載無料(17299835)</t>
        </is>
      </c>
    </row>
    <row r="505">
      <c r="A505" s="16" t="inlineStr">
        <is>
          <t>Posh</t>
        </is>
      </c>
      <c r="B505" s="16" t="inlineStr">
        <is>
          <t>AC02</t>
        </is>
      </c>
      <c r="C505" s="16" t="inlineStr">
        <is>
          <t>手数料負担の選択</t>
        </is>
      </c>
      <c r="D505" s="13" t="inlineStr">
        <is>
          <t>△</t>
        </is>
      </c>
      <c r="E505" s="16" t="inlineStr">
        <is>
          <t>公式</t>
        </is>
      </c>
      <c r="F505" s="17" t="inlineStr">
        <is>
          <t>https://posh.vip/university/post/posh-vs-dice</t>
        </is>
      </c>
      <c r="G505" s="16" t="inlineStr">
        <is>
          <t>標準は購入者負担(consumer-paid by default)。チェックアウト設定で主催者独自の追加料金は付けられる(15076421)。全額を主催者負担にする設定の公式記述は確認できず</t>
        </is>
      </c>
    </row>
    <row r="506">
      <c r="A506" s="16" t="inlineStr">
        <is>
          <t>Posh</t>
        </is>
      </c>
      <c r="B506" s="16" t="inlineStr">
        <is>
          <t>AC03</t>
        </is>
      </c>
      <c r="C506" s="16" t="inlineStr">
        <is>
          <t>参加者データの所有・出力</t>
        </is>
      </c>
      <c r="D506" s="13" t="inlineStr">
        <is>
          <t>✅</t>
        </is>
      </c>
      <c r="E506" s="16" t="inlineStr">
        <is>
          <t>公式</t>
        </is>
      </c>
      <c r="F506" s="17" t="inlineStr">
        <is>
          <t>https://support.posh.vip/en/articles/15267292-export-event-report-downloading-your-attendee-info</t>
        </is>
      </c>
      <c r="G506" s="16" t="inlineStr">
        <is>
          <t>CSVに氏名・メール・電話・Instagram等を含められ、主催者が名簿を出力・保持できる。Mailchimp連携で購入者を自動同期(15091630)</t>
        </is>
      </c>
    </row>
    <row r="507">
      <c r="A507" s="16" t="inlineStr">
        <is>
          <t>Posh</t>
        </is>
      </c>
      <c r="B507" s="16" t="inlineStr">
        <is>
          <t>AC04</t>
        </is>
      </c>
      <c r="C507" s="16" t="inlineStr">
        <is>
          <t>他サービスからの移行</t>
        </is>
      </c>
      <c r="D507" s="13" t="inlineStr">
        <is>
          <t>△</t>
        </is>
      </c>
      <c r="E507" s="16" t="inlineStr">
        <is>
          <t>公式</t>
        </is>
      </c>
      <c r="F507" s="17" t="inlineStr">
        <is>
          <t>https://posh.vip/university/post/switching-from-eventbrite-to-posh</t>
        </is>
      </c>
      <c r="G507" s="16" t="inlineStr">
        <is>
          <t>Eventbrite移行をCSMが支援し、過去参加者のCSV取込を案内(2026-06)。一方サポート記事は「参加者リストのインポートは非対応」と明記(15267292)で食い違い</t>
        </is>
      </c>
    </row>
    <row r="508">
      <c r="A508" s="16" t="inlineStr">
        <is>
          <t>Posh</t>
        </is>
      </c>
      <c r="B508" s="16" t="inlineStr">
        <is>
          <t>AC05</t>
        </is>
      </c>
      <c r="C508" s="16" t="inlineStr">
        <is>
          <t>主催者紹介・アンバサダー</t>
        </is>
      </c>
      <c r="D508" s="13" t="inlineStr">
        <is>
          <t>✅</t>
        </is>
      </c>
      <c r="E508" s="16" t="inlineStr">
        <is>
          <t>公式</t>
        </is>
      </c>
      <c r="F508" s="17" t="inlineStr">
        <is>
          <t>https://support.posh.vip/en/articles/15091893-organizer-affiliate-program-earn-commissions-by-inviting-event-creators</t>
        </is>
      </c>
      <c r="G508" s="16" t="inlineStr">
        <is>
          <t>Organizer Affiliate: 紹介した新規主催者の手数料の10%を最大12か月支払う。参加者向けKickbackもある。学生向けCampus Growth Ambassadorは求人票(二次)。グロース根拠あり(既存ノート)</t>
        </is>
      </c>
    </row>
    <row r="509">
      <c r="A509" s="16" t="inlineStr">
        <is>
          <t>Posh</t>
        </is>
      </c>
      <c r="B509" s="16" t="inlineStr">
        <is>
          <t>AC06</t>
        </is>
      </c>
      <c r="C509" s="16" t="inlineStr">
        <is>
          <t>主催者向け教育・テンプレ</t>
        </is>
      </c>
      <c r="D509" s="13" t="inlineStr">
        <is>
          <t>✅</t>
        </is>
      </c>
      <c r="E509" s="16" t="inlineStr">
        <is>
          <t>公式</t>
        </is>
      </c>
      <c r="F509" s="17" t="inlineStr">
        <is>
          <t>https://posh.vip/university</t>
        </is>
      </c>
      <c r="G509" s="16" t="inlineStr">
        <is>
          <t>Posh University(イベントガイド、講座、機能ドキュメント、主催者スポットライト、P&amp;Lテンプレート)がある</t>
        </is>
      </c>
    </row>
    <row r="510">
      <c r="A510" s="16" t="inlineStr">
        <is>
          <t>Posh</t>
        </is>
      </c>
      <c r="B510" s="16" t="inlineStr">
        <is>
          <t>AC07</t>
        </is>
      </c>
      <c r="C510" s="16" t="inlineStr">
        <is>
          <t>集客支援の商品</t>
        </is>
      </c>
      <c r="D510" s="13" t="inlineStr">
        <is>
          <t>△</t>
        </is>
      </c>
      <c r="E510" s="16" t="inlineStr">
        <is>
          <t>公式</t>
        </is>
      </c>
      <c r="F510" s="17" t="inlineStr">
        <is>
          <t>https://support.posh.vip/en/articles/15076349-set-up-ad-tracking-pixels-and-promote-your-event</t>
        </is>
      </c>
      <c r="G510" s="16" t="inlineStr">
        <is>
          <t>Market My Event(Marketplaceフィードへの掲載)、SMSブラスト、Spotify上の告知(15281886の見出し)、広告ピクセル。有料掲載・広告枠の価格は確認できず</t>
        </is>
      </c>
    </row>
    <row r="511">
      <c r="A511" s="16" t="inlineStr">
        <is>
          <t>Posh</t>
        </is>
      </c>
      <c r="B511" s="16" t="inlineStr">
        <is>
          <t>AC08</t>
        </is>
      </c>
      <c r="C511" s="16" t="inlineStr">
        <is>
          <t>運営主催・公式イベント</t>
        </is>
      </c>
      <c r="D511" s="13" t="inlineStr">
        <is>
          <t>？</t>
        </is>
      </c>
      <c r="E511" s="16" t="inlineStr">
        <is>
          <t>なし</t>
        </is>
      </c>
      <c r="F511" s="16" t="inlineStr"/>
      <c r="G511" s="16" t="inlineStr">
        <is>
          <t>Posh自身が主催・共催する公式イベントの記載は確認できず(platformページは主催者向けコミュニティイベントへのアクセスを記述)</t>
        </is>
      </c>
    </row>
    <row r="512">
      <c r="A512" s="16" t="inlineStr">
        <is>
          <t>Posh</t>
        </is>
      </c>
      <c r="B512" s="16" t="inlineStr">
        <is>
          <t>CR01</t>
        </is>
      </c>
      <c r="C512" s="16" t="inlineStr">
        <is>
          <t>ダイジェスト・おすすめ通知</t>
        </is>
      </c>
      <c r="D512" s="13" t="inlineStr">
        <is>
          <t>？</t>
        </is>
      </c>
      <c r="E512" s="16" t="inlineStr">
        <is>
          <t>なし</t>
        </is>
      </c>
      <c r="F512" s="16" t="inlineStr"/>
      <c r="G512" s="16" t="inlineStr">
        <is>
          <t>Homeタブの「For You」等はあるが、定期ダイジェスト・おすすめ通知(メール・プッシュ)の公式記述は確認できず</t>
        </is>
      </c>
    </row>
    <row r="513">
      <c r="A513" s="16" t="inlineStr">
        <is>
          <t>Posh</t>
        </is>
      </c>
      <c r="B513" s="16" t="inlineStr">
        <is>
          <t>CR02</t>
        </is>
      </c>
      <c r="C513" s="16" t="inlineStr">
        <is>
          <t>自動メンバー化</t>
        </is>
      </c>
      <c r="D513" s="13" t="inlineStr">
        <is>
          <t>✅</t>
        </is>
      </c>
      <c r="E513" s="16" t="inlineStr">
        <is>
          <t>公式</t>
        </is>
      </c>
      <c r="F513" s="17" t="inlineStr">
        <is>
          <t>https://support.posh.vip/en/articles/15089436-sms-campaigns-messaging-guidelines-best-practices</t>
        </is>
      </c>
      <c r="G513" s="16" t="inlineStr">
        <is>
          <t>購入者・参加者は組織のSMS購読者リストに入り、過去参加者宛てに次回案内を配信できる(組織レベル)</t>
        </is>
      </c>
    </row>
    <row r="514">
      <c r="A514" s="16" t="inlineStr">
        <is>
          <t>Posh</t>
        </is>
      </c>
      <c r="B514" s="16" t="inlineStr">
        <is>
          <t>CR03</t>
        </is>
      </c>
      <c r="C514" s="16" t="inlineStr">
        <is>
          <t>前回参加者への優先案内</t>
        </is>
      </c>
      <c r="D514" s="13" t="inlineStr">
        <is>
          <t>△</t>
        </is>
      </c>
      <c r="E514" s="16" t="inlineStr">
        <is>
          <t>公式</t>
        </is>
      </c>
      <c r="F514" s="17" t="inlineStr">
        <is>
          <t>https://support.posh.vip/en/articles/15075671-ticket-management-creating-ticket-tiers-groups-and-advanced-toggles</t>
        </is>
      </c>
      <c r="G514" s="16" t="inlineStr">
        <is>
          <t>過去参加者へのSMSと、パスワード保護・非表示の券種を組み合わせれば先行販売ができる。自動の過去参加者優先の設定は確認できず</t>
        </is>
      </c>
    </row>
    <row r="515">
      <c r="A515" s="16" t="inlineStr">
        <is>
          <t>Posh</t>
        </is>
      </c>
      <c r="B515" s="16" t="inlineStr">
        <is>
          <t>CR04</t>
        </is>
      </c>
      <c r="C515" s="16" t="inlineStr">
        <is>
          <t>主催者CRM・購読者リスト</t>
        </is>
      </c>
      <c r="D515" s="13" t="inlineStr">
        <is>
          <t>✅</t>
        </is>
      </c>
      <c r="E515" s="16" t="inlineStr">
        <is>
          <t>公式</t>
        </is>
      </c>
      <c r="F515" s="17" t="inlineStr">
        <is>
          <t>https://support.posh.vip/en/articles/15089436-sms-campaigns-messaging-guidelines-best-practices</t>
        </is>
      </c>
      <c r="G515" s="16" t="inlineStr">
        <is>
          <t>購読者リストから宛先を選んでSMS配信でき、Mailchimp同期(15091630)と参加者のタグ付け(15090297)もある</t>
        </is>
      </c>
    </row>
    <row r="516">
      <c r="A516" s="16" t="inlineStr">
        <is>
          <t>Posh</t>
        </is>
      </c>
      <c r="B516" s="16" t="inlineStr">
        <is>
          <t>CR05</t>
        </is>
      </c>
      <c r="C516" s="16" t="inlineStr">
        <is>
          <t>参加履歴・バッジ・実績</t>
        </is>
      </c>
      <c r="D516" s="13" t="inlineStr">
        <is>
          <t>△</t>
        </is>
      </c>
      <c r="E516" s="16" t="inlineStr">
        <is>
          <t>公式</t>
        </is>
      </c>
      <c r="F516" s="17" t="inlineStr">
        <is>
          <t>https://support.posh.vip/en/articles/10723775-take-control-of-your-privacy-settings</t>
        </is>
      </c>
      <c r="G516" s="16" t="inlineStr">
        <is>
          <t>プロフィールに参加イベント(Event Attendance)を公開/非公開で設定できる。主催者の認証バッジはGMV$10万(15091575)。参加者のバッジは確認できず</t>
        </is>
      </c>
    </row>
    <row r="517">
      <c r="A517" s="16" t="inlineStr">
        <is>
          <t>Posh</t>
        </is>
      </c>
      <c r="B517" s="16" t="inlineStr">
        <is>
          <t>CR06</t>
        </is>
      </c>
      <c r="C517" s="16" t="inlineStr">
        <is>
          <t>レビュー・評価</t>
        </is>
      </c>
      <c r="D517" s="13" t="inlineStr">
        <is>
          <t>？</t>
        </is>
      </c>
      <c r="E517" s="16" t="inlineStr">
        <is>
          <t>なし</t>
        </is>
      </c>
      <c r="F517" s="16" t="inlineStr"/>
      <c r="G517" s="16" t="inlineStr">
        <is>
          <t>主催者・参加者・店舗への評価・レビュー機能は公式ヘルプで確認できず</t>
        </is>
      </c>
    </row>
    <row r="518">
      <c r="A518" s="16" t="inlineStr">
        <is>
          <t>Posh</t>
        </is>
      </c>
      <c r="B518" s="16" t="inlineStr">
        <is>
          <t>CR07</t>
        </is>
      </c>
      <c r="C518" s="16" t="inlineStr">
        <is>
          <t>グループチャット・掲示板</t>
        </is>
      </c>
      <c r="D518" s="13" t="inlineStr">
        <is>
          <t>△</t>
        </is>
      </c>
      <c r="E518" s="16" t="inlineStr">
        <is>
          <t>公式</t>
        </is>
      </c>
      <c r="F518" s="17" t="inlineStr">
        <is>
          <t>https://support.posh.vip/en/articles/10723761-how-to-contact-your-event-organizer</t>
        </is>
      </c>
      <c r="G518" s="16" t="inlineStr">
        <is>
          <t>参加者から主催者への問い合わせフォーム・メッセージがある。参加者同士のグループチャットは確認できず(CEOは「グループチャットは解決済み」と発言=二次。既存ノート03)</t>
        </is>
      </c>
    </row>
    <row r="519">
      <c r="A519" s="16" t="inlineStr">
        <is>
          <t>Posh</t>
        </is>
      </c>
      <c r="B519" s="16" t="inlineStr">
        <is>
          <t>CR08</t>
        </is>
      </c>
      <c r="C519" s="16" t="inlineStr">
        <is>
          <t>年間まとめ・振り返り共有</t>
        </is>
      </c>
      <c r="D519" s="13" t="inlineStr">
        <is>
          <t>？</t>
        </is>
      </c>
      <c r="E519" s="16" t="inlineStr">
        <is>
          <t>なし</t>
        </is>
      </c>
      <c r="F519" s="16" t="inlineStr"/>
      <c r="G519" s="16" t="inlineStr">
        <is>
          <t>Wrapped型の振り返り機能は公式ページ・ヘルプ・検索で確認できず(2026-10確認)</t>
        </is>
      </c>
    </row>
    <row r="520">
      <c r="A520" s="16" t="inlineStr">
        <is>
          <t>Posh</t>
        </is>
      </c>
      <c r="B520" s="16" t="inlineStr">
        <is>
          <t>TS01</t>
        </is>
      </c>
      <c r="C520" s="16" t="inlineStr">
        <is>
          <t>本人確認・認証</t>
        </is>
      </c>
      <c r="D520" s="13" t="inlineStr">
        <is>
          <t>✅</t>
        </is>
      </c>
      <c r="E520" s="16" t="inlineStr">
        <is>
          <t>公式</t>
        </is>
      </c>
      <c r="F520" s="17" t="inlineStr">
        <is>
          <t>https://support.posh.vip/en/articles/12005810-getting-started-on-posh-create-an-account-log-in</t>
        </is>
      </c>
      <c r="G520" s="16" t="inlineStr">
        <is>
          <t>アカウントにはメールと電話番号の両方が必要で、ワンタイムコードで認証する。主催者はStripeオンボーディングがある(15090193の見出し)</t>
        </is>
      </c>
    </row>
    <row r="521">
      <c r="A521" s="16" t="inlineStr">
        <is>
          <t>Posh</t>
        </is>
      </c>
      <c r="B521" s="16" t="inlineStr">
        <is>
          <t>TS02</t>
        </is>
      </c>
      <c r="C521" s="16" t="inlineStr">
        <is>
          <t>主催者の審査・認定</t>
        </is>
      </c>
      <c r="D521" s="13" t="inlineStr">
        <is>
          <t>✅</t>
        </is>
      </c>
      <c r="E521" s="16" t="inlineStr">
        <is>
          <t>公式</t>
        </is>
      </c>
      <c r="F521" s="17" t="inlineStr">
        <is>
          <t>https://support.posh.vip/en/articles/15091575-managing-your-organization-settings-public-profiles</t>
        </is>
      </c>
      <c r="G521" s="16" t="inlineStr">
        <is>
          <t>認証バッジは累計GMV$10万で自動的に審査対象になる。機能も売上基準で段階解放(Atlas $500、Bulk CSV $2,500、Instant Payout $2,000)</t>
        </is>
      </c>
    </row>
    <row r="522">
      <c r="A522" s="16" t="inlineStr">
        <is>
          <t>Posh</t>
        </is>
      </c>
      <c r="B522" s="16" t="inlineStr">
        <is>
          <t>TS03</t>
        </is>
      </c>
      <c r="C522" s="16" t="inlineStr">
        <is>
          <t>通報・ブロック・モデレーション</t>
        </is>
      </c>
      <c r="D522" s="13" t="inlineStr">
        <is>
          <t>△</t>
        </is>
      </c>
      <c r="E522" s="16" t="inlineStr">
        <is>
          <t>公式</t>
        </is>
      </c>
      <c r="F522" s="17" t="inlineStr">
        <is>
          <t>https://support.posh.vip/en/articles/10723769-blocking-users</t>
        </is>
      </c>
      <c r="G522" s="16" t="inlineStr">
        <is>
          <t>ユーザーのブロック(主催者はブロック不可)、主催者による問題参加者のブロックと紛争管理(15090285)がある。通報機能の公式記述は確認できず</t>
        </is>
      </c>
    </row>
    <row r="523">
      <c r="A523" s="16" t="inlineStr">
        <is>
          <t>Posh</t>
        </is>
      </c>
      <c r="B523" s="16" t="inlineStr">
        <is>
          <t>TS04</t>
        </is>
      </c>
      <c r="C523" s="16" t="inlineStr">
        <is>
          <t>ドタキャン対策</t>
        </is>
      </c>
      <c r="D523" s="13" t="inlineStr">
        <is>
          <t>✅</t>
        </is>
      </c>
      <c r="E523" s="16" t="inlineStr">
        <is>
          <t>公式</t>
        </is>
      </c>
      <c r="F523" s="17" t="inlineStr">
        <is>
          <t>https://support.posh.vip/en/articles/10723777-how-to-request-ticket-refunds</t>
        </is>
      </c>
      <c r="G523" s="16" t="inlineStr">
        <is>
          <t>前払い購入、主催者が判断する返金申請、返却→再販時のみ自動返金、紛争手数料$15(15090285)。専用の欠席料・デポジットは確認できず</t>
        </is>
      </c>
    </row>
    <row r="524">
      <c r="A524" s="16" t="inlineStr">
        <is>
          <t>Posh</t>
        </is>
      </c>
      <c r="B524" s="16" t="inlineStr">
        <is>
          <t>TS05</t>
        </is>
      </c>
      <c r="C524" s="16" t="inlineStr">
        <is>
          <t>参加者情報の保護</t>
        </is>
      </c>
      <c r="D524" s="13" t="inlineStr">
        <is>
          <t>✅</t>
        </is>
      </c>
      <c r="E524" s="16" t="inlineStr">
        <is>
          <t>公式</t>
        </is>
      </c>
      <c r="F524" s="17" t="inlineStr">
        <is>
          <t>https://support.posh.vip/en/articles/10723775-take-control-of-your-privacy-settings</t>
        </is>
      </c>
      <c r="G524" s="16" t="inlineStr">
        <is>
          <t>ゲスト一覧・参加者数は主催者が非公開にできる(15089963)。個人はWho's Going表示とプロフィール公開を設定できる</t>
        </is>
      </c>
    </row>
    <row r="525">
      <c r="A525" s="16" t="inlineStr">
        <is>
          <t>Posh</t>
        </is>
      </c>
      <c r="B525" s="16" t="inlineStr">
        <is>
          <t>TS06</t>
        </is>
      </c>
      <c r="C525" s="16" t="inlineStr">
        <is>
          <t>直接取引の抑止</t>
        </is>
      </c>
      <c r="D525" s="13" t="inlineStr">
        <is>
          <t>△</t>
        </is>
      </c>
      <c r="E525" s="16" t="inlineStr">
        <is>
          <t>公式</t>
        </is>
      </c>
      <c r="F525" s="17" t="inlineStr">
        <is>
          <t>https://support.posh.vip/en/articles/17299835-third-party-links-list-your-event-elsewhere-share-them-on-posh</t>
        </is>
      </c>
      <c r="G525" s="16" t="inlineStr">
        <is>
          <t>Third-Party Linksで他社チケットも掲載でき外部誘導を許容する。独占契約の主催者のみPosh専用マーケを要求。ToSに明示の禁止規定は確認できず</t>
        </is>
      </c>
    </row>
    <row r="526">
      <c r="A526" s="16" t="inlineStr">
        <is>
          <t>Posh</t>
        </is>
      </c>
      <c r="B526" s="16" t="inlineStr">
        <is>
          <t>FD01</t>
        </is>
      </c>
      <c r="C526" s="16" t="inlineStr">
        <is>
          <t>メニューの事前注文・選択</t>
        </is>
      </c>
      <c r="D526" s="13" t="inlineStr">
        <is>
          <t>△</t>
        </is>
      </c>
      <c r="E526" s="16" t="inlineStr">
        <is>
          <t>公式</t>
        </is>
      </c>
      <c r="F526" s="17" t="inlineStr">
        <is>
          <t>https://support.posh.vip/en/articles/15076421-checkout-settings-customize-the-attendee-s-experience</t>
        </is>
      </c>
      <c r="G526" s="16" t="inlineStr">
        <is>
          <t>メニュー注文機能はない。チェックアウト質問(サイズ等)と券種・卓パッケージで内容を選ばせる程度</t>
        </is>
      </c>
    </row>
    <row r="527">
      <c r="A527" s="16" t="inlineStr">
        <is>
          <t>Posh</t>
        </is>
      </c>
      <c r="B527" s="16" t="inlineStr">
        <is>
          <t>FD02</t>
        </is>
      </c>
      <c r="C527" s="16" t="inlineStr">
        <is>
          <t>アレルギー・食の好みの登録</t>
        </is>
      </c>
      <c r="D527" s="13" t="inlineStr">
        <is>
          <t>△</t>
        </is>
      </c>
      <c r="E527" s="16" t="inlineStr">
        <is>
          <t>公式</t>
        </is>
      </c>
      <c r="F527" s="17" t="inlineStr">
        <is>
          <t>https://support.posh.vip/en/articles/15076421-checkout-settings-customize-the-attendee-s-experience</t>
        </is>
      </c>
      <c r="G527" s="16" t="inlineStr">
        <is>
          <t>専用機能なし。チェックアウト質問で任意の項目を収集できる(ヘルプの例は物販のサイズ等)</t>
        </is>
      </c>
    </row>
    <row r="528">
      <c r="A528" s="16" t="inlineStr">
        <is>
          <t>Posh</t>
        </is>
      </c>
      <c r="B528" s="16" t="inlineStr">
        <is>
          <t>FD03</t>
        </is>
      </c>
      <c r="C528" s="16" t="inlineStr">
        <is>
          <t>店舗向け管理画面</t>
        </is>
      </c>
      <c r="D528" s="13" t="inlineStr">
        <is>
          <t>？</t>
        </is>
      </c>
      <c r="E528" s="16" t="inlineStr">
        <is>
          <t>なし</t>
        </is>
      </c>
      <c r="F528" s="16" t="inlineStr"/>
      <c r="G528" s="16" t="inlineStr">
        <is>
          <t>店舗向けの管理画面は確認できず(会場パートナーにAdmin/Host権限を付ける運用はあるが、店舗専用の画面ではない=15090297)</t>
        </is>
      </c>
    </row>
    <row r="529">
      <c r="A529" s="16" t="inlineStr">
        <is>
          <t>Posh</t>
        </is>
      </c>
      <c r="B529" s="16" t="inlineStr">
        <is>
          <t>FD04</t>
        </is>
      </c>
      <c r="C529" s="16" t="inlineStr">
        <is>
          <t>人数確定の店舗通知・集計</t>
        </is>
      </c>
      <c r="D529" s="13" t="inlineStr">
        <is>
          <t>？</t>
        </is>
      </c>
      <c r="E529" s="16" t="inlineStr">
        <is>
          <t>なし</t>
        </is>
      </c>
      <c r="F529" s="16" t="inlineStr"/>
      <c r="G529" s="16" t="inlineStr">
        <is>
          <t>人数・注文を店舗へ自動通知・集計する機能は確認できず(Webhookで外部連携は可能=15091630)</t>
        </is>
      </c>
    </row>
    <row r="530">
      <c r="A530" s="16" t="inlineStr">
        <is>
          <t>Posh</t>
        </is>
      </c>
      <c r="B530" s="16" t="inlineStr">
        <is>
          <t>FD05</t>
        </is>
      </c>
      <c r="C530" s="16" t="inlineStr">
        <is>
          <t>席の確保・貸切の連携</t>
        </is>
      </c>
      <c r="D530" s="13" t="inlineStr">
        <is>
          <t>✅</t>
        </is>
      </c>
      <c r="E530" s="16" t="inlineStr">
        <is>
          <t>公式</t>
        </is>
      </c>
      <c r="F530" s="17" t="inlineStr">
        <is>
          <t>https://support.posh.vip/en/articles/15255266-offering-table-service-creating-your-seating-map</t>
        </is>
      </c>
      <c r="G530" s="16" t="inlineStr">
        <is>
          <t>座席マップに卓(Table)ピンを置き、価格・席数・在庫を設定して購入者が卓を選ぶ。1卓1QR。ナイトライフ向けで卓購入に固定$5の手数料</t>
        </is>
      </c>
    </row>
    <row r="531">
      <c r="A531" s="16" t="inlineStr">
        <is>
          <t>Posh</t>
        </is>
      </c>
      <c r="B531" s="16" t="inlineStr">
        <is>
          <t>FD06</t>
        </is>
      </c>
      <c r="C531" s="16" t="inlineStr">
        <is>
          <t>コース・固定メニュー</t>
        </is>
      </c>
      <c r="D531" s="13" t="inlineStr">
        <is>
          <t>△</t>
        </is>
      </c>
      <c r="E531" s="16" t="inlineStr">
        <is>
          <t>公式</t>
        </is>
      </c>
      <c r="F531" s="17" t="inlineStr">
        <is>
          <t>https://support.posh.vip/en/articles/15255266-offering-table-service-creating-your-seating-map</t>
        </is>
      </c>
      <c r="G531" s="16" t="inlineStr">
        <is>
          <t>卓パッケージ(例: ボトル3本付き)と券種グループ(Bottle Service等)を販売できる。固定コースの選択機能ではない</t>
        </is>
      </c>
    </row>
    <row r="532">
      <c r="A532" s="16" t="inlineStr">
        <is>
          <t>Posh</t>
        </is>
      </c>
      <c r="B532" s="16" t="inlineStr">
        <is>
          <t>FD07</t>
        </is>
      </c>
      <c r="C532" s="16" t="inlineStr">
        <is>
          <t>割り勘・個別会計</t>
        </is>
      </c>
      <c r="D532" s="13" t="inlineStr">
        <is>
          <t>？</t>
        </is>
      </c>
      <c r="E532" s="16" t="inlineStr">
        <is>
          <t>なし</t>
        </is>
      </c>
      <c r="F532" s="16" t="inlineStr"/>
      <c r="G532" s="16" t="inlineStr">
        <is>
          <t>Paylink(単発の高額決済)とAffirm分割払いはあるが、参加者ごとの割り勘・個別会計は確認できず(15075861、15090257の見出し)</t>
        </is>
      </c>
    </row>
    <row r="533">
      <c r="A533" s="16" t="inlineStr">
        <is>
          <t>Posh</t>
        </is>
      </c>
      <c r="B533" s="16" t="inlineStr">
        <is>
          <t>FD08</t>
        </is>
      </c>
      <c r="C533" s="16" t="inlineStr">
        <is>
          <t>店探し・店選び支援</t>
        </is>
      </c>
      <c r="D533" s="13" t="inlineStr">
        <is>
          <t>？</t>
        </is>
      </c>
      <c r="E533" s="16" t="inlineStr">
        <is>
          <t>なし</t>
        </is>
      </c>
      <c r="F533" s="16" t="inlineStr"/>
      <c r="G533" s="16" t="inlineStr">
        <is>
          <t>店探し・店選びを支援する機能は確認できず</t>
        </is>
      </c>
    </row>
    <row r="534">
      <c r="A534" s="16" t="inlineStr">
        <is>
          <t>Posh</t>
        </is>
      </c>
      <c r="B534" s="16" t="inlineStr">
        <is>
          <t>FD09</t>
        </is>
      </c>
      <c r="C534" s="16" t="inlineStr">
        <is>
          <t>売り切れ・限定数の管理</t>
        </is>
      </c>
      <c r="D534" s="13" t="inlineStr">
        <is>
          <t>△</t>
        </is>
      </c>
      <c r="E534" s="16" t="inlineStr">
        <is>
          <t>公式</t>
        </is>
      </c>
      <c r="F534" s="17" t="inlineStr">
        <is>
          <t>https://support.posh.vip/en/articles/15075671-ticket-management-creating-ticket-tiers-groups-and-advanced-toggles</t>
        </is>
      </c>
      <c r="G534" s="16" t="inlineStr">
        <is>
          <t>券種ごとの在庫上限、Mark as Sold Out、1注文の購入枚数の上下限はある。メニュー単位の在庫管理は確認できず</t>
        </is>
      </c>
    </row>
    <row r="535">
      <c r="A535" s="16" t="inlineStr">
        <is>
          <t>Posh</t>
        </is>
      </c>
      <c r="B535" s="16" t="inlineStr">
        <is>
          <t>FD10</t>
        </is>
      </c>
      <c r="C535" s="16" t="inlineStr">
        <is>
          <t>提供形態の選択</t>
        </is>
      </c>
      <c r="D535" s="13" t="inlineStr">
        <is>
          <t>？</t>
        </is>
      </c>
      <c r="E535" s="16" t="inlineStr">
        <is>
          <t>なし</t>
        </is>
      </c>
      <c r="F535" s="16" t="inlineStr"/>
      <c r="G535" s="16" t="inlineStr">
        <is>
          <t>イートイン・テイクアウト等の提供形態を選ぶ機能は確認できず(In-Person Onlyの切替のみ=15075671)</t>
        </is>
      </c>
    </row>
    <row r="536">
      <c r="A536" s="16" t="inlineStr">
        <is>
          <t>Posh</t>
        </is>
      </c>
      <c r="B536" s="16" t="inlineStr">
        <is>
          <t>MN01</t>
        </is>
      </c>
      <c r="C536" s="16" t="inlineStr">
        <is>
          <t>手数料の明示</t>
        </is>
      </c>
      <c r="D536" s="13" t="inlineStr">
        <is>
          <t>✅</t>
        </is>
      </c>
      <c r="E536" s="16" t="inlineStr">
        <is>
          <t>公式</t>
        </is>
      </c>
      <c r="F536" s="17" t="inlineStr">
        <is>
          <t>https://posh.vip/university/post/posh-vs-dice</t>
        </is>
      </c>
      <c r="G536" s="16" t="inlineStr">
        <is>
          <t>10%+$0.99/枚、購入者負担が既定で決済手数料込み(2026-06の自社記事)。公式の料金ページは本文を取得できず(posh.vip/pricing)。Luma比較ページも同額(競合発信)</t>
        </is>
      </c>
    </row>
    <row r="537">
      <c r="A537" s="16" t="inlineStr">
        <is>
          <t>Posh</t>
        </is>
      </c>
      <c r="B537" s="16" t="inlineStr">
        <is>
          <t>MN02</t>
        </is>
      </c>
      <c r="C537" s="16" t="inlineStr">
        <is>
          <t>主催者向け有料プラン</t>
        </is>
      </c>
      <c r="D537" s="13" t="inlineStr">
        <is>
          <t>？</t>
        </is>
      </c>
      <c r="E537" s="16" t="inlineStr">
        <is>
          <t>なし</t>
        </is>
      </c>
      <c r="F537" s="16" t="inlineStr"/>
      <c r="G537" s="16" t="inlineStr">
        <is>
          <t>主催者向けサブスクは確認できず(売上額で機能が解放される)。platformページに$640・$2,983・$8,395の金額表記があるが用途不明</t>
        </is>
      </c>
    </row>
    <row r="538">
      <c r="A538" s="16" t="inlineStr">
        <is>
          <t>Posh</t>
        </is>
      </c>
      <c r="B538" s="16" t="inlineStr">
        <is>
          <t>MN03</t>
        </is>
      </c>
      <c r="C538" s="16" t="inlineStr">
        <is>
          <t>任意チップ・寄付</t>
        </is>
      </c>
      <c r="D538" s="13" t="inlineStr">
        <is>
          <t>？</t>
        </is>
      </c>
      <c r="E538" s="16" t="inlineStr">
        <is>
          <t>なし</t>
        </is>
      </c>
      <c r="F538" s="16" t="inlineStr"/>
      <c r="G538" s="16" t="inlineStr">
        <is>
          <t>チェックアウト設定に任意チップ・寄付の記載なし(15076421)</t>
        </is>
      </c>
    </row>
    <row r="539">
      <c r="A539" s="16" t="inlineStr">
        <is>
          <t>Posh</t>
        </is>
      </c>
      <c r="B539" s="16" t="inlineStr">
        <is>
          <t>MN04</t>
        </is>
      </c>
      <c r="C539" s="16" t="inlineStr">
        <is>
          <t>クーポン・割引コード</t>
        </is>
      </c>
      <c r="D539" s="13" t="inlineStr">
        <is>
          <t>✅</t>
        </is>
      </c>
      <c r="E539" s="16" t="inlineStr">
        <is>
          <t>公式</t>
        </is>
      </c>
      <c r="F539" s="17" t="inlineStr">
        <is>
          <t>https://support.posh.vip/en/articles/15075838-ticket-promotions-hospitality-guest-lists-comps-and-promo-codes</t>
        </is>
      </c>
      <c r="G539" s="16" t="inlineStr">
        <is>
          <t>プロモコード(割合・定額、利用上限、券種限定、共有リンク)とコンプチケット。CSV一括はGMV$2,500以上</t>
        </is>
      </c>
    </row>
    <row r="540">
      <c r="A540" s="16" t="inlineStr">
        <is>
          <t>Posh</t>
        </is>
      </c>
      <c r="B540" s="16" t="inlineStr">
        <is>
          <t>MN05</t>
        </is>
      </c>
      <c r="C540" s="16" t="inlineStr">
        <is>
          <t>ポイント・会員特典</t>
        </is>
      </c>
      <c r="D540" s="13" t="inlineStr">
        <is>
          <t>△</t>
        </is>
      </c>
      <c r="E540" s="16" t="inlineStr">
        <is>
          <t>公式</t>
        </is>
      </c>
      <c r="F540" s="17" t="inlineStr">
        <is>
          <t>https://support.posh.vip/en/articles/10723760-start-earning-with-posh-kickback-program</t>
        </is>
      </c>
      <c r="G540" s="16" t="inlineStr">
        <is>
          <t>Kickbackで紹介したチケット売上の一部を現金で受け取れる。ポイント・会員制度は確認できず</t>
        </is>
      </c>
    </row>
    <row r="541">
      <c r="A541" s="16" t="inlineStr">
        <is>
          <t>Peatix</t>
        </is>
      </c>
      <c r="B541" s="16" t="inlineStr">
        <is>
          <t>DS01</t>
        </is>
      </c>
      <c r="C541" s="16" t="inlineStr">
        <is>
          <t>キーワード・カテゴリ検索</t>
        </is>
      </c>
      <c r="D541" s="13" t="inlineStr">
        <is>
          <t>✅</t>
        </is>
      </c>
      <c r="E541" s="16" t="inlineStr">
        <is>
          <t>実機</t>
        </is>
      </c>
      <c r="F541" s="17" t="inlineStr">
        <is>
          <t>https://peatix.com/search?q=%E9%A3%9F%E4%BA%8B%E4%BC%9A&amp;country=JP</t>
        </is>
      </c>
      <c r="G541" s="16" t="inlineStr">
        <is>
          <t>検索ボックスでキーワード検索でき、カテゴリ選択もある(『食事会』で検索して結果表示を確認。ブラウザで実ページを確認、スクショIDなし)</t>
        </is>
      </c>
    </row>
    <row r="542">
      <c r="A542" s="16" t="inlineStr">
        <is>
          <t>Peatix</t>
        </is>
      </c>
      <c r="B542" s="16" t="inlineStr">
        <is>
          <t>DS02</t>
        </is>
      </c>
      <c r="C542" s="16" t="inlineStr">
        <is>
          <t>地域・地図検索</t>
        </is>
      </c>
      <c r="D542" s="13" t="inlineStr">
        <is>
          <t>✅</t>
        </is>
      </c>
      <c r="E542" s="16" t="inlineStr">
        <is>
          <t>実機</t>
        </is>
      </c>
      <c r="F542" s="17" t="inlineStr">
        <is>
          <t>https://peatix.com/search?q=%E9%A3%9F%E4%BA%8B%E4%BC%9A&amp;country=JP</t>
        </is>
      </c>
      <c r="G542" s="16" t="inlineStr">
        <is>
          <t>『近く』でエリアを指定して探せ、2026-05のホーム刷新で『Near me』から別エリアへ切替可(公式ヘルプ)。イベントページに地図リンクあり。地図上で探すUIや駅指定は未確認</t>
        </is>
      </c>
    </row>
    <row r="543">
      <c r="A543" s="16" t="inlineStr">
        <is>
          <t>Peatix</t>
        </is>
      </c>
      <c r="B543" s="16" t="inlineStr">
        <is>
          <t>DS03</t>
        </is>
      </c>
      <c r="C543" s="16" t="inlineStr">
        <is>
          <t>日付・価格等の絞り込み</t>
        </is>
      </c>
      <c r="D543" s="13" t="inlineStr">
        <is>
          <t>✅</t>
        </is>
      </c>
      <c r="E543" s="16" t="inlineStr">
        <is>
          <t>実機</t>
        </is>
      </c>
      <c r="F543" s="17" t="inlineStr">
        <is>
          <t>https://peatix.com/search?q=%E9%A3%9F%E4%BA%8B%E4%BC%9A&amp;country=JP</t>
        </is>
      </c>
      <c r="G543" s="16" t="inlineStr">
        <is>
          <t>日付(『今後すべて』等)と開催形式(対面/オンライン、2026-01に対面のみフィルタ追加)で絞り込める。価格帯フィルタは確認できず</t>
        </is>
      </c>
    </row>
    <row r="544">
      <c r="A544" s="16" t="inlineStr">
        <is>
          <t>Peatix</t>
        </is>
      </c>
      <c r="B544" s="16" t="inlineStr">
        <is>
          <t>DS04</t>
        </is>
      </c>
      <c r="C544" s="16" t="inlineStr">
        <is>
          <t>パーソナライズ推薦</t>
        </is>
      </c>
      <c r="D544" s="13" t="inlineStr">
        <is>
          <t>△</t>
        </is>
      </c>
      <c r="E544" s="16" t="inlineStr">
        <is>
          <t>公式</t>
        </is>
      </c>
      <c r="F544" s="17" t="inlineStr">
        <is>
          <t>https://learning.peatix.com/ja/how-to-use/free-customer-attraction</t>
        </is>
      </c>
      <c r="G544" s="16" t="inlineStr">
        <is>
          <t>同じカテゴリのイベントに参加したユーザーへ自動送信するおすすめイベントメールがある。ホームは2026-05にテーマ別表示へ刷新。個別の推薦フィードは確認できず。グロース根拠あり(取扱の約15%が発見機能経由、2015-03、自社発表の二次情報)</t>
        </is>
      </c>
    </row>
    <row r="545">
      <c r="A545" s="16" t="inlineStr">
        <is>
          <t>Peatix</t>
        </is>
      </c>
      <c r="B545" s="16" t="inlineStr">
        <is>
          <t>DS05</t>
        </is>
      </c>
      <c r="C545" s="16" t="inlineStr">
        <is>
          <t>フォロー</t>
        </is>
      </c>
      <c r="D545" s="13" t="inlineStr">
        <is>
          <t>✅</t>
        </is>
      </c>
      <c r="E545" s="16" t="inlineStr">
        <is>
          <t>実機</t>
        </is>
      </c>
      <c r="F545" s="17" t="inlineStr">
        <is>
          <t>https://peatix.com/group/16556640</t>
        </is>
      </c>
      <c r="G545" s="16" t="inlineStr">
        <is>
          <t>グループにフォローボタンとフォロワー数(実例135)があり『開催予定のイベントの通知を受け取る』。新規イベント公開時に自動メール(2014年に導入)。グロース根拠は事例のみで数値なし</t>
        </is>
      </c>
    </row>
    <row r="546">
      <c r="A546" s="16" t="inlineStr">
        <is>
          <t>Peatix</t>
        </is>
      </c>
      <c r="B546" s="16" t="inlineStr">
        <is>
          <t>DS06</t>
        </is>
      </c>
      <c r="C546" s="16" t="inlineStr">
        <is>
          <t>ブックマーク・ウィッシュリスト</t>
        </is>
      </c>
      <c r="D546" s="13" t="inlineStr">
        <is>
          <t>✅</t>
        </is>
      </c>
      <c r="E546" s="16" t="inlineStr">
        <is>
          <t>公式</t>
        </is>
      </c>
      <c r="F546" s="17" t="inlineStr">
        <is>
          <t>https://help-attendee.peatix.com/en/support/solutions/articles/44002476895-about-the-watch-list-feature</t>
        </is>
      </c>
      <c r="G546" s="16" t="inlineStr">
        <is>
          <t>イベントページの『お気に入り』(ハート)でウォッチリストに保存でき、開催72時間前と売り切れ間近に自動メール。確認・解除はアプリのみ。定期開催イベントはお気に入り不可(実機でお気に入りボタンも確認)</t>
        </is>
      </c>
    </row>
    <row r="547">
      <c r="A547" s="16" t="inlineStr">
        <is>
          <t>Peatix</t>
        </is>
      </c>
      <c r="B547" s="16" t="inlineStr">
        <is>
          <t>DS07</t>
        </is>
      </c>
      <c r="C547" s="16" t="inlineStr">
        <is>
          <t>公開ディレクトリ・都市×カテゴリページ</t>
        </is>
      </c>
      <c r="D547" s="13" t="inlineStr">
        <is>
          <t>△</t>
        </is>
      </c>
      <c r="E547" s="16" t="inlineStr">
        <is>
          <t>実機</t>
        </is>
      </c>
      <c r="F547" s="17" t="inlineStr">
        <is>
          <t>https://peatix.com/event/5191994</t>
        </is>
      </c>
      <c r="G547" s="16" t="inlineStr">
        <is>
          <t>カテゴリ/タグ別の検索URL(peatix.com/search?cc=jp&amp;tags=…)があり『近くの食事会のイベントを探そう』のようなタイトルの検索ページが出る。検索流入向けの都市×カテゴリ専用ディレクトリは確認できず</t>
        </is>
      </c>
    </row>
    <row r="548">
      <c r="A548" s="16" t="inlineStr">
        <is>
          <t>Peatix</t>
        </is>
      </c>
      <c r="B548" s="16" t="inlineStr">
        <is>
          <t>DS08</t>
        </is>
      </c>
      <c r="C548" s="16" t="inlineStr">
        <is>
          <t>キュレーション・特集</t>
        </is>
      </c>
      <c r="D548" s="13" t="inlineStr">
        <is>
          <t>✅</t>
        </is>
      </c>
      <c r="E548" s="16" t="inlineStr">
        <is>
          <t>公式</t>
        </is>
      </c>
      <c r="F548" s="17" t="inlineStr">
        <is>
          <t>https://learning.peatix.com/ja/</t>
        </is>
      </c>
      <c r="G548" s="16" t="inlineStr">
        <is>
          <t>公式noteで『おすすめイベント特集』『新着イベント』(週次号)を編集して紹介。有料のピックアップイベント枠(請求書払い対象)とオンラインセレクトストア『Peatixマルシェ』もある</t>
        </is>
      </c>
    </row>
    <row r="549">
      <c r="A549" s="16" t="inlineStr">
        <is>
          <t>Peatix</t>
        </is>
      </c>
      <c r="B549" s="16" t="inlineStr">
        <is>
          <t>JN01</t>
        </is>
      </c>
      <c r="C549" s="16" t="inlineStr">
        <is>
          <t>アカウント不要の申込</t>
        </is>
      </c>
      <c r="D549" s="13" t="inlineStr">
        <is>
          <t>❌</t>
        </is>
      </c>
      <c r="E549" s="16" t="inlineStr">
        <is>
          <t>公式</t>
        </is>
      </c>
      <c r="F549" s="17" t="inlineStr">
        <is>
          <t>https://help-attendee.peatix.com/en/support/solutions/articles/44002430435-how-to-create-a-peatix-account</t>
        </is>
      </c>
      <c r="G549" s="16" t="inlineStr">
        <is>
          <t>チケット注文にはPeatixアカウントが必須と公式ヘルプに明記(To order tickets, you need a Peatix account)。外部リンク誘導(有料オプション)で別フォームに申込を移す運用はあるが標準機能ではない</t>
        </is>
      </c>
    </row>
    <row r="550">
      <c r="A550" s="16" t="inlineStr">
        <is>
          <t>Peatix</t>
        </is>
      </c>
      <c r="B550" s="16" t="inlineStr">
        <is>
          <t>JN02</t>
        </is>
      </c>
      <c r="C550" s="16" t="inlineStr">
        <is>
          <t>簡易ログイン</t>
        </is>
      </c>
      <c r="D550" s="13" t="inlineStr">
        <is>
          <t>✅</t>
        </is>
      </c>
      <c r="E550" s="16" t="inlineStr">
        <is>
          <t>公式</t>
        </is>
      </c>
      <c r="F550" s="17" t="inlineStr">
        <is>
          <t>https://help-attendee.peatix.com/en/support/solutions/articles/44002430435-how-to-create-a-peatix-account</t>
        </is>
      </c>
      <c r="G550" s="16" t="inlineStr">
        <is>
          <t>メールのほか Google/Apple アカウントで作成・ログインできる(2026年時点のヘルプ)。古い参加者向けヘルプには Facebook/Twitter も記載があり食い違う。LINE・電話番号ログインは確認できず</t>
        </is>
      </c>
    </row>
    <row r="551">
      <c r="A551" s="16" t="inlineStr">
        <is>
          <t>Peatix</t>
        </is>
      </c>
      <c r="B551" s="16" t="inlineStr">
        <is>
          <t>JN03</t>
        </is>
      </c>
      <c r="C551" s="16" t="inlineStr">
        <is>
          <t>承認制・参加申請</t>
        </is>
      </c>
      <c r="D551" s="13" t="inlineStr">
        <is>
          <t>❌</t>
        </is>
      </c>
      <c r="E551" s="16" t="inlineStr">
        <is>
          <t>公式</t>
        </is>
      </c>
      <c r="F551" s="17" t="inlineStr">
        <is>
          <t>https://help-organizer.peatix.com/en/support/solutions/articles/44002019732-feature-overview</t>
        </is>
      </c>
      <c r="G551" s="16" t="inlineStr">
        <is>
          <t>選考機能(申込期間を設けアンケートから参加者を選ぶ)は『現在利用不可』と公式ヘルプに記載。主催者が承認する標準フローは確認できず</t>
        </is>
      </c>
    </row>
    <row r="552">
      <c r="A552" s="16" t="inlineStr">
        <is>
          <t>Peatix</t>
        </is>
      </c>
      <c r="B552" s="16" t="inlineStr">
        <is>
          <t>JN04</t>
        </is>
      </c>
      <c r="C552" s="16" t="inlineStr">
        <is>
          <t>ウェイトリスト</t>
        </is>
      </c>
      <c r="D552" s="13" t="inlineStr">
        <is>
          <t>？</t>
        </is>
      </c>
      <c r="E552" s="16" t="inlineStr">
        <is>
          <t>なし</t>
        </is>
      </c>
      <c r="F552" s="16" t="inlineStr"/>
      <c r="G552" s="16" t="inlineStr">
        <is>
          <t>キャンセル待ち機能は機能一覧・Sell ticketsフォルダに記載がなく確認できず(販売の一時停止/再開のみ確認)</t>
        </is>
      </c>
    </row>
    <row r="553">
      <c r="A553" s="16" t="inlineStr">
        <is>
          <t>Peatix</t>
        </is>
      </c>
      <c r="B553" s="16" t="inlineStr">
        <is>
          <t>JN05</t>
        </is>
      </c>
      <c r="C553" s="16" t="inlineStr">
        <is>
          <t>定員・残席の表示</t>
        </is>
      </c>
      <c r="D553" s="13" t="inlineStr">
        <is>
          <t>？</t>
        </is>
      </c>
      <c r="E553" s="16" t="inlineStr">
        <is>
          <t>なし</t>
        </is>
      </c>
      <c r="F553" s="16" t="inlineStr"/>
      <c r="G553" s="16" t="inlineStr">
        <is>
          <t>チケット枚数で定員管理するが、残席の自動表示は確認できず(公式ヘルプは説明文に『チケット残り◯枚』と手書きする運用を紹介)</t>
        </is>
      </c>
    </row>
    <row r="554">
      <c r="A554" s="16" t="inlineStr">
        <is>
          <t>Peatix</t>
        </is>
      </c>
      <c r="B554" s="16" t="inlineStr">
        <is>
          <t>JN06</t>
        </is>
      </c>
      <c r="C554" s="16" t="inlineStr">
        <is>
          <t>追加質問・同行者の入力</t>
        </is>
      </c>
      <c r="D554" s="13" t="inlineStr">
        <is>
          <t>✅</t>
        </is>
      </c>
      <c r="E554" s="16" t="inlineStr">
        <is>
          <t>公式</t>
        </is>
      </c>
      <c r="F554" s="17" t="inlineStr">
        <is>
          <t>https://help-organizer.peatix.com/en/support/solutions/articles/44001821720-how-to-use-a-form-to-collect-information-from-attendees</t>
        </is>
      </c>
      <c r="G554" s="16" t="inlineStr">
        <is>
          <t>事前アンケート(チケット選択後の注文手続き内)で最大32問、ラジオ/プルダウン/短文/長文、必須指定ができる。チケットごと・同行者ごとの入力は確認できず</t>
        </is>
      </c>
    </row>
    <row r="555">
      <c r="A555" s="16" t="inlineStr">
        <is>
          <t>Peatix</t>
        </is>
      </c>
      <c r="B555" s="16" t="inlineStr">
        <is>
          <t>JN07</t>
        </is>
      </c>
      <c r="C555" s="16" t="inlineStr">
        <is>
          <t>参加者のセルフキャンセル</t>
        </is>
      </c>
      <c r="D555" s="13" t="inlineStr">
        <is>
          <t>△</t>
        </is>
      </c>
      <c r="E555" s="16" t="inlineStr">
        <is>
          <t>公式</t>
        </is>
      </c>
      <c r="F555" s="17" t="inlineStr">
        <is>
          <t>https://help-attendee.peatix.com/en/support/solutions/articles/44001822284-how-to-make-ticket-cancellation-requests</t>
        </is>
      </c>
      <c r="G555" s="16" t="inlineStr">
        <is>
          <t>参加者は主催者へメッセージで依頼し、キャンセルは主催者のみが実行(参加者が自分では不可)。返金はカード会社経由で、購入50日超の有料チケットは日本340円の手数料</t>
        </is>
      </c>
    </row>
    <row r="556">
      <c r="A556" s="16" t="inlineStr">
        <is>
          <t>Peatix</t>
        </is>
      </c>
      <c r="B556" s="16" t="inlineStr">
        <is>
          <t>JN08</t>
        </is>
      </c>
      <c r="C556" s="16" t="inlineStr">
        <is>
          <t>カレンダー追加</t>
        </is>
      </c>
      <c r="D556" s="13" t="inlineStr">
        <is>
          <t>✅</t>
        </is>
      </c>
      <c r="E556" s="16" t="inlineStr">
        <is>
          <t>実機</t>
        </is>
      </c>
      <c r="F556" s="17" t="inlineStr">
        <is>
          <t>https://peatix.com/event/5191994</t>
        </is>
      </c>
      <c r="G556" s="16" t="inlineStr">
        <is>
          <t>イベントページに『カレンダーに追加』ボタンがある(形式はICS/Google等まで未確認)</t>
        </is>
      </c>
    </row>
    <row r="557">
      <c r="A557" s="16" t="inlineStr">
        <is>
          <t>Peatix</t>
        </is>
      </c>
      <c r="B557" s="16" t="inlineStr">
        <is>
          <t>JN09</t>
        </is>
      </c>
      <c r="C557" s="16" t="inlineStr">
        <is>
          <t>開催前リマインド</t>
        </is>
      </c>
      <c r="D557" s="13" t="inlineStr">
        <is>
          <t>✅</t>
        </is>
      </c>
      <c r="E557" s="16" t="inlineStr">
        <is>
          <t>公式</t>
        </is>
      </c>
      <c r="F557" s="17" t="inlineStr">
        <is>
          <t>https://learning.peatix.com/ja/how-to-use/sell-more-tickets</t>
        </is>
      </c>
      <c r="G557" s="16" t="inlineStr">
        <is>
          <t>開始24時間前にアプリプッシュとメールで自動リマインド。ウォッチリスト登録者へ72時間前と売り切れ間近、未申込フォロワーへ72時間前にメール(2023-05追加)。LINEでの通知は確認できず</t>
        </is>
      </c>
    </row>
    <row r="558">
      <c r="A558" s="16" t="inlineStr">
        <is>
          <t>Peatix</t>
        </is>
      </c>
      <c r="B558" s="16" t="inlineStr">
        <is>
          <t>JN10</t>
        </is>
      </c>
      <c r="C558" s="16" t="inlineStr">
        <is>
          <t>QRチケット・当日受付</t>
        </is>
      </c>
      <c r="D558" s="13" t="inlineStr">
        <is>
          <t>✅</t>
        </is>
      </c>
      <c r="E558" s="16" t="inlineStr">
        <is>
          <t>公式</t>
        </is>
      </c>
      <c r="F558" s="17" t="inlineStr">
        <is>
          <t>https://help-organizer.peatix.com/en/support/solutions/articles/44001821727-how-to-check-in-attendees</t>
        </is>
      </c>
      <c r="G558" s="16" t="inlineStr">
        <is>
          <t>QRコードチケット(アプリ表示/印刷)をiPhone『Peatix Organizer』/Android『Peatix Scan』でスキャン、タップ受付(2025-11に主方式化)、名前検索、紙リストの4方式。複数スタッフ用のアシスタントモードあり</t>
        </is>
      </c>
    </row>
    <row r="559">
      <c r="A559" s="16" t="inlineStr">
        <is>
          <t>Peatix</t>
        </is>
      </c>
      <c r="B559" s="16" t="inlineStr">
        <is>
          <t>JN11</t>
        </is>
      </c>
      <c r="C559" s="16" t="inlineStr">
        <is>
          <t>参加者一覧の閲覧</t>
        </is>
      </c>
      <c r="D559" s="13" t="inlineStr">
        <is>
          <t>✅</t>
        </is>
      </c>
      <c r="E559" s="16" t="inlineStr">
        <is>
          <t>公式</t>
        </is>
      </c>
      <c r="F559" s="17" t="inlineStr">
        <is>
          <t>https://help-organizer.peatix.com/en/support/solutions/articles/44001821716-how-to-create-a-group-an-event-physical-event-</t>
        </is>
      </c>
      <c r="G559" s="16" t="inlineStr">
        <is>
          <t>参加者名(ニックネーム)と人数をイベントページに表示するかを主催者が設定できる。申込ウィジェットにも参加者リスト表示の切替がある。実際のイベントでは非表示のものが多い</t>
        </is>
      </c>
    </row>
    <row r="560">
      <c r="A560" s="16" t="inlineStr">
        <is>
          <t>Peatix</t>
        </is>
      </c>
      <c r="B560" s="16" t="inlineStr">
        <is>
          <t>JN12</t>
        </is>
      </c>
      <c r="C560" s="16" t="inlineStr">
        <is>
          <t>イベント後の体験</t>
        </is>
      </c>
      <c r="D560" s="13" t="inlineStr">
        <is>
          <t>△</t>
        </is>
      </c>
      <c r="E560" s="16" t="inlineStr">
        <is>
          <t>公式</t>
        </is>
      </c>
      <c r="F560" s="17" t="inlineStr">
        <is>
          <t>https://help-organizer.peatix.com/en/support/solutions/articles/44001821756-how-to-send-messages-to-attendees</t>
        </is>
      </c>
      <c r="G560" s="16" t="inlineStr">
        <is>
          <t>イベント終了後30日まで参加者へ事後メッセージを送れる。グループページに写真付き投稿(2026-02)とコンテンツ紹介ページ(2026-07-31)でレポート発信も可。参加者のレビューやアルバム機能は確認できず</t>
        </is>
      </c>
    </row>
    <row r="561">
      <c r="A561" s="16" t="inlineStr">
        <is>
          <t>Peatix</t>
        </is>
      </c>
      <c r="B561" s="16" t="inlineStr">
        <is>
          <t>SH01</t>
        </is>
      </c>
      <c r="C561" s="16" t="inlineStr">
        <is>
          <t>共有用URL・OGPカード</t>
        </is>
      </c>
      <c r="D561" s="13" t="inlineStr">
        <is>
          <t>✅</t>
        </is>
      </c>
      <c r="E561" s="16" t="inlineStr">
        <is>
          <t>実機</t>
        </is>
      </c>
      <c r="F561" s="17" t="inlineStr">
        <is>
          <t>https://peatix.com/event/5191994</t>
        </is>
      </c>
      <c r="G561" s="16" t="inlineStr">
        <is>
          <t>イベントページとグループページに og:image(カバー)/og:title/og:description と twitter:card=summary_large_image を設定。schema.org Event の構造化データは見つからず</t>
        </is>
      </c>
    </row>
    <row r="562">
      <c r="A562" s="16" t="inlineStr">
        <is>
          <t>Peatix</t>
        </is>
      </c>
      <c r="B562" s="16" t="inlineStr">
        <is>
          <t>SH02</t>
        </is>
      </c>
      <c r="C562" s="16" t="inlineStr">
        <is>
          <t>SNS・メッセージ共有ボタン</t>
        </is>
      </c>
      <c r="D562" s="13" t="inlineStr">
        <is>
          <t>✅</t>
        </is>
      </c>
      <c r="E562" s="16" t="inlineStr">
        <is>
          <t>実機</t>
        </is>
      </c>
      <c r="F562" s="17" t="inlineStr">
        <is>
          <t>https://peatix.com/event/5205318</t>
        </is>
      </c>
      <c r="G562" s="16" t="inlineStr">
        <is>
          <t>『共有』から Facebook と Twitter(X) へのシェアボタンがある。LINE共有ボタンは確認できず</t>
        </is>
      </c>
    </row>
    <row r="563">
      <c r="A563" s="16" t="inlineStr">
        <is>
          <t>Peatix</t>
        </is>
      </c>
      <c r="B563" s="16" t="inlineStr">
        <is>
          <t>SH03</t>
        </is>
      </c>
      <c r="C563" s="16" t="inlineStr">
        <is>
          <t>友人・同行者の招待導線</t>
        </is>
      </c>
      <c r="D563" s="13" t="inlineStr">
        <is>
          <t>△</t>
        </is>
      </c>
      <c r="E563" s="16" t="inlineStr">
        <is>
          <t>公式</t>
        </is>
      </c>
      <c r="F563" s="17" t="inlineStr">
        <is>
          <t>https://help-organizer.peatix.com/en/support/solutions/articles/44001821760-about-the-transfer-feature</t>
        </is>
      </c>
      <c r="G563" s="16" t="inlineStr">
        <is>
          <t>複数枚購入分を友人へチケット譲渡できる(主催者は作成時にオフ可)。申込後に友人を招く専用導線は確認できず。2014年にSNS拡散で10%割引のプログラムを実施(二次、現行は不明)</t>
        </is>
      </c>
    </row>
    <row r="564">
      <c r="A564" s="16" t="inlineStr">
        <is>
          <t>Peatix</t>
        </is>
      </c>
      <c r="B564" s="16" t="inlineStr">
        <is>
          <t>SH04</t>
        </is>
      </c>
      <c r="C564" s="16" t="inlineStr">
        <is>
          <t>紹介リンク・紹介の可視化</t>
        </is>
      </c>
      <c r="D564" s="13" t="inlineStr">
        <is>
          <t>？</t>
        </is>
      </c>
      <c r="E564" s="16" t="inlineStr">
        <is>
          <t>なし</t>
        </is>
      </c>
      <c r="F564" s="16" t="inlineStr"/>
      <c r="G564" s="16" t="inlineStr">
        <is>
          <t>紹介者の追跡・可視化機能は確認できず(2014年のソーシャル拡散プログラムは過去施策で現行は不明)</t>
        </is>
      </c>
    </row>
    <row r="565">
      <c r="A565" s="16" t="inlineStr">
        <is>
          <t>Peatix</t>
        </is>
      </c>
      <c r="B565" s="16" t="inlineStr">
        <is>
          <t>SH05</t>
        </is>
      </c>
      <c r="C565" s="16" t="inlineStr">
        <is>
          <t>連絡先・SNS連携で友人発見</t>
        </is>
      </c>
      <c r="D565" s="13" t="inlineStr">
        <is>
          <t>？</t>
        </is>
      </c>
      <c r="E565" s="16" t="inlineStr">
        <is>
          <t>なし</t>
        </is>
      </c>
      <c r="F565" s="16" t="inlineStr"/>
      <c r="G565" s="16" t="inlineStr">
        <is>
          <t>連絡先やSNSの友人から招待・発見する機能は確認できず</t>
        </is>
      </c>
    </row>
    <row r="566">
      <c r="A566" s="16" t="inlineStr">
        <is>
          <t>Peatix</t>
        </is>
      </c>
      <c r="B566" s="16" t="inlineStr">
        <is>
          <t>SH06</t>
        </is>
      </c>
      <c r="C566" s="16" t="inlineStr">
        <is>
          <t>社会的証明の表示</t>
        </is>
      </c>
      <c r="D566" s="13" t="inlineStr">
        <is>
          <t>✅</t>
        </is>
      </c>
      <c r="E566" s="16" t="inlineStr">
        <is>
          <t>実機</t>
        </is>
      </c>
      <c r="F566" s="17" t="inlineStr">
        <is>
          <t>https://peatix.com/group/16556640</t>
        </is>
      </c>
      <c r="G566" s="16" t="inlineStr">
        <is>
          <t>グループページにフォロワー数(実例135)を表示。参加者名・人数の表示も主催者設定(JN11)でできる</t>
        </is>
      </c>
    </row>
    <row r="567">
      <c r="A567" s="16" t="inlineStr">
        <is>
          <t>Peatix</t>
        </is>
      </c>
      <c r="B567" s="16" t="inlineStr">
        <is>
          <t>SH07</t>
        </is>
      </c>
      <c r="C567" s="16" t="inlineStr">
        <is>
          <t>QR・短縮URL・チラシ生成</t>
        </is>
      </c>
      <c r="D567" s="13" t="inlineStr">
        <is>
          <t>△</t>
        </is>
      </c>
      <c r="E567" s="16" t="inlineStr">
        <is>
          <t>公式</t>
        </is>
      </c>
      <c r="F567" s="17" t="inlineStr">
        <is>
          <t>https://help-organizer.peatix.com/en/support/solutions/articles/44001821716-how-to-create-a-group-an-event-physical-event-</t>
        </is>
      </c>
      <c r="G567" s="16" t="inlineStr">
        <is>
          <t>イベントURLを任意の文字列に変えるカスタムURLがある(定期開催では不可)。QR・チラシの生成は確認できず(QRは当日受付用のみ)</t>
        </is>
      </c>
    </row>
    <row r="568">
      <c r="A568" s="16" t="inlineStr">
        <is>
          <t>Peatix</t>
        </is>
      </c>
      <c r="B568" s="16" t="inlineStr">
        <is>
          <t>SH08</t>
        </is>
      </c>
      <c r="C568" s="16" t="inlineStr">
        <is>
          <t>埋め込みウィジェット</t>
        </is>
      </c>
      <c r="D568" s="13" t="inlineStr">
        <is>
          <t>✅</t>
        </is>
      </c>
      <c r="E568" s="16" t="inlineStr">
        <is>
          <t>公式</t>
        </is>
      </c>
      <c r="F568" s="17" t="inlineStr">
        <is>
          <t>https://help-organizer.peatix.com/en/support/solutions/articles/44001821748-how-to-embed-widget-in-an-external-site</t>
        </is>
      </c>
      <c r="G568" s="16" t="inlineStr">
        <is>
          <t>公開済みイベントのチケット申込ウィジェットを自サイトへ埋め込める(サイズ、ライト/ダーク、チケット種別・参加者リストの表示切替)。複数イベントの一覧埋め込みは確認できず</t>
        </is>
      </c>
    </row>
    <row r="569">
      <c r="A569" s="16" t="inlineStr">
        <is>
          <t>Peatix</t>
        </is>
      </c>
      <c r="B569" s="16" t="inlineStr">
        <is>
          <t>OP01</t>
        </is>
      </c>
      <c r="C569" s="16" t="inlineStr">
        <is>
          <t>簡単な作成</t>
        </is>
      </c>
      <c r="D569" s="13" t="inlineStr">
        <is>
          <t>✅</t>
        </is>
      </c>
      <c r="E569" s="16" t="inlineStr">
        <is>
          <t>公式</t>
        </is>
      </c>
      <c r="F569" s="17" t="inlineStr">
        <is>
          <t>https://help-organizer.peatix.com/en/support/solutions/articles/44002019732-feature-overview</t>
        </is>
      </c>
      <c r="G569" s="16" t="inlineStr">
        <is>
          <t>グループ内で短時間(公式の記載は5分以内)にイベントページを作成できる。サービス紹介ページは『最短5分で申込受付・販売開始』と記載(自社主張)</t>
        </is>
      </c>
    </row>
    <row r="570">
      <c r="A570" s="16" t="inlineStr">
        <is>
          <t>Peatix</t>
        </is>
      </c>
      <c r="B570" s="16" t="inlineStr">
        <is>
          <t>OP02</t>
        </is>
      </c>
      <c r="C570" s="16" t="inlineStr">
        <is>
          <t>コピー・繰り返し作成</t>
        </is>
      </c>
      <c r="D570" s="13" t="inlineStr">
        <is>
          <t>✅</t>
        </is>
      </c>
      <c r="E570" s="16" t="inlineStr">
        <is>
          <t>公式</t>
        </is>
      </c>
      <c r="F570" s="17" t="inlineStr">
        <is>
          <t>https://help-organizer.peatix.com/en/support/solutions/articles/44002645658-how-to-create-recurring-events</t>
        </is>
      </c>
      <c r="G570" s="16" t="inlineStr">
        <is>
          <t>定期開催(2025-11提供、1ページ最大50回、2026-04にオンライン種別も対応)がある。複製の記事は題名のみ確認。定期開催は回ごとの個別設定・カスタムURL・お気に入りが不可</t>
        </is>
      </c>
    </row>
    <row r="571">
      <c r="A571" s="16" t="inlineStr">
        <is>
          <t>Peatix</t>
        </is>
      </c>
      <c r="B571" s="16" t="inlineStr">
        <is>
          <t>OP03</t>
        </is>
      </c>
      <c r="C571" s="16" t="inlineStr">
        <is>
          <t>下書き・限定公開</t>
        </is>
      </c>
      <c r="D571" s="13" t="inlineStr">
        <is>
          <t>✅</t>
        </is>
      </c>
      <c r="E571" s="16" t="inlineStr">
        <is>
          <t>公式</t>
        </is>
      </c>
      <c r="F571" s="17" t="inlineStr">
        <is>
          <t>https://help-organizer.peatix.com/en/support/solutions/articles/44001821716-how-to-create-a-group-an-event-physical-event-</t>
        </is>
      </c>
      <c r="G571" s="16" t="inlineStr">
        <is>
          <t>公開範囲は公開/限定公開(unlisted)/パスワード保護。プレビューの『Share URL』でURLを知る人だけが閲覧でき、公開前の下書き状態もある(売上受取記事の記述)</t>
        </is>
      </c>
    </row>
    <row r="572">
      <c r="A572" s="16" t="inlineStr">
        <is>
          <t>Peatix</t>
        </is>
      </c>
      <c r="B572" s="16" t="inlineStr">
        <is>
          <t>OP04</t>
        </is>
      </c>
      <c r="C572" s="16" t="inlineStr">
        <is>
          <t>AI作成支援</t>
        </is>
      </c>
      <c r="D572" s="13" t="inlineStr">
        <is>
          <t>？</t>
        </is>
      </c>
      <c r="E572" s="16" t="inlineStr">
        <is>
          <t>なし</t>
        </is>
      </c>
      <c r="F572" s="16" t="inlineStr"/>
      <c r="G572" s="16" t="inlineStr">
        <is>
          <t>AIによる文面・画像の作成支援は公式ヘルプ・機能紹介で確認できず(検索でも該当なし)</t>
        </is>
      </c>
    </row>
    <row r="573">
      <c r="A573" s="16" t="inlineStr">
        <is>
          <t>Peatix</t>
        </is>
      </c>
      <c r="B573" s="16" t="inlineStr">
        <is>
          <t>OP05</t>
        </is>
      </c>
      <c r="C573" s="16" t="inlineStr">
        <is>
          <t>共同主催・運営メンバー権限</t>
        </is>
      </c>
      <c r="D573" s="13" t="inlineStr">
        <is>
          <t>△</t>
        </is>
      </c>
      <c r="E573" s="16" t="inlineStr">
        <is>
          <t>公式</t>
        </is>
      </c>
      <c r="F573" s="17" t="inlineStr">
        <is>
          <t>https://help-organizer.peatix.com/en/support/solutions/articles/44001821768-how-to-manage-events-with-multiple-users-adding-co-organizers</t>
        </is>
      </c>
      <c r="G573" s="16" t="inlineStr">
        <is>
          <t>共同主催者は最大2名で、権限は1種類(グループ/イベント編集・販売情報と参加者情報・販売管理)。細かい権限分けは確認できず。受付スタッフ向けにはアシスタントモードがある</t>
        </is>
      </c>
    </row>
    <row r="574">
      <c r="A574" s="16" t="inlineStr">
        <is>
          <t>Peatix</t>
        </is>
      </c>
      <c r="B574" s="16" t="inlineStr">
        <is>
          <t>OP06</t>
        </is>
      </c>
      <c r="C574" s="16" t="inlineStr">
        <is>
          <t>参加者管理・名簿出力</t>
        </is>
      </c>
      <c r="D574" s="13" t="inlineStr">
        <is>
          <t>✅</t>
        </is>
      </c>
      <c r="E574" s="16" t="inlineStr">
        <is>
          <t>公式</t>
        </is>
      </c>
      <c r="F574" s="17" t="inlineStr">
        <is>
          <t>https://help-organizer.peatix.com/en/support/solutions/articles/44001821754-how-to-download-the-attendee-list</t>
        </is>
      </c>
      <c r="G574" s="16" t="inlineStr">
        <is>
          <t>参加者リストをCSV出力(売上ID、ユーザーID、氏名、チケット、割引コード、フォーム回答など)。メールアドレスは含まれず、フォームで取得する必要がある</t>
        </is>
      </c>
    </row>
    <row r="575">
      <c r="A575" s="16" t="inlineStr">
        <is>
          <t>Peatix</t>
        </is>
      </c>
      <c r="B575" s="16" t="inlineStr">
        <is>
          <t>OP07</t>
        </is>
      </c>
      <c r="C575" s="16" t="inlineStr">
        <is>
          <t>一斉メッセージ</t>
        </is>
      </c>
      <c r="D575" s="13" t="inlineStr">
        <is>
          <t>✅</t>
        </is>
      </c>
      <c r="E575" s="16" t="inlineStr">
        <is>
          <t>公式</t>
        </is>
      </c>
      <c r="F575" s="17" t="inlineStr">
        <is>
          <t>https://help-organizer.peatix.com/en/support/solutions/articles/44001821756-how-to-send-messages-to-attendees</t>
        </is>
      </c>
      <c r="G575" s="16" t="inlineStr">
        <is>
          <t>参加者(販売リストはチケット種別/注文状況で絞込)とグループのフォロワーへメールを一斉送信。終了後30日まで、添付不可、予約送信の記載なし。主催者アプリからも全員へ一斉送信可(App Store説明)。LINE一斉配信は確認できず</t>
        </is>
      </c>
    </row>
    <row r="576">
      <c r="A576" s="16" t="inlineStr">
        <is>
          <t>Peatix</t>
        </is>
      </c>
      <c r="B576" s="16" t="inlineStr">
        <is>
          <t>OP08</t>
        </is>
      </c>
      <c r="C576" s="16" t="inlineStr">
        <is>
          <t>当日運営ツール</t>
        </is>
      </c>
      <c r="D576" s="13" t="inlineStr">
        <is>
          <t>✅</t>
        </is>
      </c>
      <c r="E576" s="16" t="inlineStr">
        <is>
          <t>公式</t>
        </is>
      </c>
      <c r="F576" s="17" t="inlineStr">
        <is>
          <t>https://help-organizer.peatix.com/en/support/solutions/articles/44001821727-how-to-check-in-attendees</t>
        </is>
      </c>
      <c r="G576" s="16" t="inlineStr">
        <is>
          <t>当日運営はQRスキャン、タップ受付、PCの名前検索、紙の名簿。複数スタッフはログイン情報を共有せず使えるアシスタントモードがある。主催者向けアプリ(iPhone/Android)あり</t>
        </is>
      </c>
    </row>
    <row r="577">
      <c r="A577" s="16" t="inlineStr">
        <is>
          <t>Peatix</t>
        </is>
      </c>
      <c r="B577" s="16" t="inlineStr">
        <is>
          <t>OP09</t>
        </is>
      </c>
      <c r="C577" s="16" t="inlineStr">
        <is>
          <t>売上・入金管理</t>
        </is>
      </c>
      <c r="D577" s="13" t="inlineStr">
        <is>
          <t>✅</t>
        </is>
      </c>
      <c r="E577" s="16" t="inlineStr">
        <is>
          <t>公式</t>
        </is>
      </c>
      <c r="F577" s="17" t="inlineStr">
        <is>
          <t>https://help-organizer.peatix.com/en/support/solutions/articles/44001821780-how-to-receive-the-ticket-sales-for-your-event</t>
        </is>
      </c>
      <c r="G577" s="16" t="inlineStr">
        <is>
          <t>販売状況をリアルタイムに確認でき入金明細も見られる。入金はイベント終了後5営業日以内で、終了日より前には払われない(即時入金なし)。日本は銀行口座へ振込(振込手数料210円)</t>
        </is>
      </c>
    </row>
    <row r="578">
      <c r="A578" s="16" t="inlineStr">
        <is>
          <t>Peatix</t>
        </is>
      </c>
      <c r="B578" s="16" t="inlineStr">
        <is>
          <t>OP10</t>
        </is>
      </c>
      <c r="C578" s="16" t="inlineStr">
        <is>
          <t>流入・申込の分析</t>
        </is>
      </c>
      <c r="D578" s="13" t="inlineStr">
        <is>
          <t>✅</t>
        </is>
      </c>
      <c r="E578" s="16" t="inlineStr">
        <is>
          <t>公式</t>
        </is>
      </c>
      <c r="F578" s="17" t="inlineStr">
        <is>
          <t>https://help-organizer.peatix.com/en/support/solutions/articles/44002019732-feature-overview</t>
        </is>
      </c>
      <c r="G578" s="16" t="inlineStr">
        <is>
          <t>ページビュー数と流入元ドメイン(リファラー)を確認でき、ホーム画面で上位リファラーを見られる。UTMやGA連携は確認できず</t>
        </is>
      </c>
    </row>
    <row r="579">
      <c r="A579" s="16" t="inlineStr">
        <is>
          <t>Peatix</t>
        </is>
      </c>
      <c r="B579" s="16" t="inlineStr">
        <is>
          <t>OP11</t>
        </is>
      </c>
      <c r="C579" s="16" t="inlineStr">
        <is>
          <t>主催者ページ・グループページ</t>
        </is>
      </c>
      <c r="D579" s="13" t="inlineStr">
        <is>
          <t>✅</t>
        </is>
      </c>
      <c r="E579" s="16" t="inlineStr">
        <is>
          <t>実機</t>
        </is>
      </c>
      <c r="F579" s="17" t="inlineStr">
        <is>
          <t>https://peatix.com/group/16556640</t>
        </is>
      </c>
      <c r="G579" s="16" t="inlineStr">
        <is>
          <t>グループページ(紹介文・開催予定イベント・フォロワー・アクティビティ。2023-10に再設計、2026-05にコンテンツタブ追加)がある</t>
        </is>
      </c>
    </row>
    <row r="580">
      <c r="A580" s="16" t="inlineStr">
        <is>
          <t>Peatix</t>
        </is>
      </c>
      <c r="B580" s="16" t="inlineStr">
        <is>
          <t>OP12</t>
        </is>
      </c>
      <c r="C580" s="16" t="inlineStr">
        <is>
          <t>外部ツール連携・API</t>
        </is>
      </c>
      <c r="D580" s="13" t="inlineStr">
        <is>
          <t>△</t>
        </is>
      </c>
      <c r="E580" s="16" t="inlineStr">
        <is>
          <t>公式</t>
        </is>
      </c>
      <c r="F580" s="17" t="inlineStr">
        <is>
          <t>https://help-organizer.peatix.com/en/support/solutions/articles/44001821717-what-payment-methods-are-available-on-peatix-</t>
        </is>
      </c>
      <c r="G580" s="16" t="inlineStr">
        <is>
          <t>外部連携はVimeo/YouTube埋め込み・外部配信リンク・申込ウィジェットに限られ、API/Webhook、Zoom・Slack・Mailchimp連携は確認できず(検索でも該当なし)。日本固有: 決済はカード(JCB・Diners含む)・PayPal・コンビニ/ATM(購入者330円)・銀行振込(2025-08末開始、購入者が振込手数料負担、決済額は提供開始月の約3倍=二次でグロース根拠あり)。請求書払いは法人主催者向け集客サービスの支払い(2025-07、5,500円以上、二次)。SNSはFacebook/Xの共有ボタンのみでLINE/X連携は確認できず。グループ/フォロワー機能はDS05・CR02。オンライン配信対応は2020コロナ期に週5万→8.5万人(外部ショックが主因)</t>
        </is>
      </c>
    </row>
    <row r="581">
      <c r="A581" s="16" t="inlineStr">
        <is>
          <t>Peatix</t>
        </is>
      </c>
      <c r="B581" s="16" t="inlineStr">
        <is>
          <t>AC01</t>
        </is>
      </c>
      <c r="C581" s="16" t="inlineStr">
        <is>
          <t>無料イベントは無料</t>
        </is>
      </c>
      <c r="D581" s="13" t="inlineStr">
        <is>
          <t>✅</t>
        </is>
      </c>
      <c r="E581" s="16" t="inlineStr">
        <is>
          <t>公式</t>
        </is>
      </c>
      <c r="F581" s="17" t="inlineStr">
        <is>
          <t>https://help-organizer.peatix.com/en/support/solutions/articles/44001821779-peatix-pricing</t>
        </is>
      </c>
      <c r="G581" s="16" t="inlineStr">
        <is>
          <t>無料チケットのみのイベントは手数料なし、登録料・月額費もなし。有料と無料が混在する場合は有料注文分のみ課金</t>
        </is>
      </c>
    </row>
    <row r="582">
      <c r="A582" s="16" t="inlineStr">
        <is>
          <t>Peatix</t>
        </is>
      </c>
      <c r="B582" s="16" t="inlineStr">
        <is>
          <t>AC02</t>
        </is>
      </c>
      <c r="C582" s="16" t="inlineStr">
        <is>
          <t>手数料負担の選択</t>
        </is>
      </c>
      <c r="D582" s="13" t="inlineStr">
        <is>
          <t>？</t>
        </is>
      </c>
      <c r="E582" s="16" t="inlineStr">
        <is>
          <t>なし</t>
        </is>
      </c>
      <c r="F582" s="16" t="inlineStr"/>
      <c r="G582" s="16" t="inlineStr">
        <is>
          <t>公式料金ページは『購入者は予約手数料なし』と記載(実質は主催者控除)。負担者を選ぶ機能は確認できず。コンビニ/ATM払いのみ購入者に330円</t>
        </is>
      </c>
    </row>
    <row r="583">
      <c r="A583" s="16" t="inlineStr">
        <is>
          <t>Peatix</t>
        </is>
      </c>
      <c r="B583" s="16" t="inlineStr">
        <is>
          <t>AC03</t>
        </is>
      </c>
      <c r="C583" s="16" t="inlineStr">
        <is>
          <t>参加者データの所有・出力</t>
        </is>
      </c>
      <c r="D583" s="13" t="inlineStr">
        <is>
          <t>△</t>
        </is>
      </c>
      <c r="E583" s="16" t="inlineStr">
        <is>
          <t>公式</t>
        </is>
      </c>
      <c r="F583" s="17" t="inlineStr">
        <is>
          <t>https://help-organizer.peatix.com/en/support/solutions/articles/44001821754-how-to-download-the-attendee-list</t>
        </is>
      </c>
      <c r="G583" s="16" t="inlineStr">
        <is>
          <t>参加者CSVは出力できるがメールアドレスが含まれず、フォームで取得が必要。フォーム回答はイベント終了30日後に自動削除。フォロワーへは継続的に連絡できる</t>
        </is>
      </c>
    </row>
    <row r="584">
      <c r="A584" s="16" t="inlineStr">
        <is>
          <t>Peatix</t>
        </is>
      </c>
      <c r="B584" s="16" t="inlineStr">
        <is>
          <t>AC04</t>
        </is>
      </c>
      <c r="C584" s="16" t="inlineStr">
        <is>
          <t>他サービスからの移行</t>
        </is>
      </c>
      <c r="D584" s="13" t="inlineStr">
        <is>
          <t>△</t>
        </is>
      </c>
      <c r="E584" s="16" t="inlineStr">
        <is>
          <t>二次</t>
        </is>
      </c>
      <c r="F584" s="17" t="inlineStr">
        <is>
          <t>https://internet.watch.impress.co.jp/docs/yajiuma/1229961.html</t>
        </is>
      </c>
      <c r="G584" s="16" t="inlineStr">
        <is>
          <t>2020-01のATND閉鎖時に、初回イベント手数料無料とATND過去イベントのデータ移行サービスを提供(二次、締切2020-02-28)。恒常的なインポート機能は確認できず。グロース根拠は効果数値なし</t>
        </is>
      </c>
    </row>
    <row r="585">
      <c r="A585" s="16" t="inlineStr">
        <is>
          <t>Peatix</t>
        </is>
      </c>
      <c r="B585" s="16" t="inlineStr">
        <is>
          <t>AC05</t>
        </is>
      </c>
      <c r="C585" s="16" t="inlineStr">
        <is>
          <t>主催者紹介・アンバサダー</t>
        </is>
      </c>
      <c r="D585" s="13" t="inlineStr">
        <is>
          <t>？</t>
        </is>
      </c>
      <c r="E585" s="16" t="inlineStr">
        <is>
          <t>なし</t>
        </is>
      </c>
      <c r="F585" s="16" t="inlineStr"/>
      <c r="G585" s="16" t="inlineStr">
        <is>
          <t>主催者紹介報酬・アンバサダー制度は確認できず(既存調査でも未確認)</t>
        </is>
      </c>
    </row>
    <row r="586">
      <c r="A586" s="16" t="inlineStr">
        <is>
          <t>Peatix</t>
        </is>
      </c>
      <c r="B586" s="16" t="inlineStr">
        <is>
          <t>AC06</t>
        </is>
      </c>
      <c r="C586" s="16" t="inlineStr">
        <is>
          <t>主催者向け教育・テンプレ</t>
        </is>
      </c>
      <c r="D586" s="13" t="inlineStr">
        <is>
          <t>✅</t>
        </is>
      </c>
      <c r="E586" s="16" t="inlineStr">
        <is>
          <t>公式</t>
        </is>
      </c>
      <c r="F586" s="17" t="inlineStr">
        <is>
          <t>https://learning.peatix.com/ja/</t>
        </is>
      </c>
      <c r="G586" s="16" t="inlineStr">
        <is>
          <t>Peatix U(使い方、集客ナレッジセンター、ノウハウ、活用事例)、15分電話サポート、集客用オンライン面談、機能紹介動画がある。テンプレートやウェビナーは確認できず</t>
        </is>
      </c>
    </row>
    <row r="587">
      <c r="A587" s="16" t="inlineStr">
        <is>
          <t>Peatix</t>
        </is>
      </c>
      <c r="B587" s="16" t="inlineStr">
        <is>
          <t>AC07</t>
        </is>
      </c>
      <c r="C587" s="16" t="inlineStr">
        <is>
          <t>集客支援の商品</t>
        </is>
      </c>
      <c r="D587" s="13" t="inlineStr">
        <is>
          <t>✅</t>
        </is>
      </c>
      <c r="E587" s="16" t="inlineStr">
        <is>
          <t>公式</t>
        </is>
      </c>
      <c r="F587" s="17" t="inlineStr">
        <is>
          <t>https://services.peatix.com/ja/pricing</t>
        </is>
      </c>
      <c r="G587" s="16" t="inlineStr">
        <is>
          <t>カテゴリ上位掲載(1,100〜6,600円/日)、イベント紹介メール(8,800〜110,000円)、成果報酬プラン、クイックプラン/法人プランがある。既存ノートの『1,300社超』は集客サービスページで確認できず</t>
        </is>
      </c>
    </row>
    <row r="588">
      <c r="A588" s="16" t="inlineStr">
        <is>
          <t>Peatix</t>
        </is>
      </c>
      <c r="B588" s="16" t="inlineStr">
        <is>
          <t>AC08</t>
        </is>
      </c>
      <c r="C588" s="16" t="inlineStr">
        <is>
          <t>運営主催・公式イベント</t>
        </is>
      </c>
      <c r="D588" s="13" t="inlineStr">
        <is>
          <t>✅</t>
        </is>
      </c>
      <c r="E588" s="16" t="inlineStr">
        <is>
          <t>公式</t>
        </is>
      </c>
      <c r="F588" s="17" t="inlineStr">
        <is>
          <t>https://eventsalon.peatix.com/</t>
        </is>
      </c>
      <c r="G588" s="16" t="inlineStr">
        <is>
          <t>『ピーティックス主催 コミュニティテラス/イベントサロン』のページがある(事業者向けコミュニティ)。ほかオンラインセレクトストア『Peatixマルシェ』。イベントの中身までは未確認</t>
        </is>
      </c>
    </row>
    <row r="589">
      <c r="A589" s="16" t="inlineStr">
        <is>
          <t>Peatix</t>
        </is>
      </c>
      <c r="B589" s="16" t="inlineStr">
        <is>
          <t>CR01</t>
        </is>
      </c>
      <c r="C589" s="16" t="inlineStr">
        <is>
          <t>ダイジェスト・おすすめ通知</t>
        </is>
      </c>
      <c r="D589" s="13" t="inlineStr">
        <is>
          <t>✅</t>
        </is>
      </c>
      <c r="E589" s="16" t="inlineStr">
        <is>
          <t>公式</t>
        </is>
      </c>
      <c r="F589" s="17" t="inlineStr">
        <is>
          <t>https://learning.peatix.com/ja/how-to-use/free-customer-attraction</t>
        </is>
      </c>
      <c r="G589" s="16" t="inlineStr">
        <is>
          <t>Peatixが自動送信するおすすめイベントメール(同カテゴリ参加者が対象)と、ウォッチリスト/フォロワー向けの自動メールがある。配信数は非公開。グロース根拠あり(取扱の約15%が発見機能経由、2015-03、自社発表の二次)</t>
        </is>
      </c>
    </row>
    <row r="590">
      <c r="A590" s="16" t="inlineStr">
        <is>
          <t>Peatix</t>
        </is>
      </c>
      <c r="B590" s="16" t="inlineStr">
        <is>
          <t>CR02</t>
        </is>
      </c>
      <c r="C590" s="16" t="inlineStr">
        <is>
          <t>自動メンバー化</t>
        </is>
      </c>
      <c r="D590" s="13" t="inlineStr">
        <is>
          <t>✅</t>
        </is>
      </c>
      <c r="E590" s="16" t="inlineStr">
        <is>
          <t>公式</t>
        </is>
      </c>
      <c r="F590" s="17" t="inlineStr">
        <is>
          <t>https://services.peatix.com/ja</t>
        </is>
      </c>
      <c r="G590" s="16" t="inlineStr">
        <is>
          <t>公式に『過去イベントの参加者はフォロワーとして溜まり、次回以降のイベントページ公開時に自動で告知が届く』と記載。ヘルプでは注文画面からのフォローも記載(自動付与かオプトインかは未確認)。公開直後と72時間前(未申込フォロワー)にメール。2014年に申込時のフォロー促進を導入。グロース根拠は事例のみで数値なし</t>
        </is>
      </c>
    </row>
    <row r="591">
      <c r="A591" s="16" t="inlineStr">
        <is>
          <t>Peatix</t>
        </is>
      </c>
      <c r="B591" s="16" t="inlineStr">
        <is>
          <t>CR03</t>
        </is>
      </c>
      <c r="C591" s="16" t="inlineStr">
        <is>
          <t>前回参加者への優先案内</t>
        </is>
      </c>
      <c r="D591" s="13" t="inlineStr">
        <is>
          <t>？</t>
        </is>
      </c>
      <c r="E591" s="16" t="inlineStr">
        <is>
          <t>なし</t>
        </is>
      </c>
      <c r="F591" s="16" t="inlineStr"/>
      <c r="G591" s="16" t="inlineStr">
        <is>
          <t>過去参加者への先行・優先案内の機能は確認できず(販売開始日の設定とフォロワー通知のみ)</t>
        </is>
      </c>
    </row>
    <row r="592">
      <c r="A592" s="16" t="inlineStr">
        <is>
          <t>Peatix</t>
        </is>
      </c>
      <c r="B592" s="16" t="inlineStr">
        <is>
          <t>CR04</t>
        </is>
      </c>
      <c r="C592" s="16" t="inlineStr">
        <is>
          <t>主催者CRM・購読者リスト</t>
        </is>
      </c>
      <c r="D592" s="13" t="inlineStr">
        <is>
          <t>△</t>
        </is>
      </c>
      <c r="E592" s="16" t="inlineStr">
        <is>
          <t>公式</t>
        </is>
      </c>
      <c r="F592" s="17" t="inlineStr">
        <is>
          <t>https://help-organizer.peatix.com/en/support/solutions/articles/44001821756-how-to-send-messages-to-attendees</t>
        </is>
      </c>
      <c r="G592" s="16" t="inlineStr">
        <is>
          <t>販売リストをチケット種別・注文状況で絞って送信でき、フォロワーへ一斉送信、定額課金メンバー向けメッセージもある。蓄積はフォロワー単位で、タグ等によるセグメントや外部CRM連携は確認できず</t>
        </is>
      </c>
    </row>
    <row r="593">
      <c r="A593" s="16" t="inlineStr">
        <is>
          <t>Peatix</t>
        </is>
      </c>
      <c r="B593" s="16" t="inlineStr">
        <is>
          <t>CR05</t>
        </is>
      </c>
      <c r="C593" s="16" t="inlineStr">
        <is>
          <t>参加履歴・バッジ・実績</t>
        </is>
      </c>
      <c r="D593" s="13" t="inlineStr">
        <is>
          <t>？</t>
        </is>
      </c>
      <c r="E593" s="16" t="inlineStr">
        <is>
          <t>なし</t>
        </is>
      </c>
      <c r="F593" s="16" t="inlineStr"/>
      <c r="G593" s="16" t="inlineStr">
        <is>
          <t>参加回数・バッジ・実績の表示は確認できず</t>
        </is>
      </c>
    </row>
    <row r="594">
      <c r="A594" s="16" t="inlineStr">
        <is>
          <t>Peatix</t>
        </is>
      </c>
      <c r="B594" s="16" t="inlineStr">
        <is>
          <t>CR06</t>
        </is>
      </c>
      <c r="C594" s="16" t="inlineStr">
        <is>
          <t>レビュー・評価</t>
        </is>
      </c>
      <c r="D594" s="13" t="inlineStr">
        <is>
          <t>？</t>
        </is>
      </c>
      <c r="E594" s="16" t="inlineStr">
        <is>
          <t>なし</t>
        </is>
      </c>
      <c r="F594" s="16" t="inlineStr"/>
      <c r="G594" s="16" t="inlineStr">
        <is>
          <t>主催者・参加者へのレビュー/評価機能は確認できず</t>
        </is>
      </c>
    </row>
    <row r="595">
      <c r="A595" s="16" t="inlineStr">
        <is>
          <t>Peatix</t>
        </is>
      </c>
      <c r="B595" s="16" t="inlineStr">
        <is>
          <t>CR07</t>
        </is>
      </c>
      <c r="C595" s="16" t="inlineStr">
        <is>
          <t>グループチャット・掲示板</t>
        </is>
      </c>
      <c r="D595" s="13" t="inlineStr">
        <is>
          <t>△</t>
        </is>
      </c>
      <c r="E595" s="16" t="inlineStr">
        <is>
          <t>公式</t>
        </is>
      </c>
      <c r="F595" s="17" t="inlineStr">
        <is>
          <t>https://learning.peatix.com/ja/how-to-use/member-lounge</t>
        </is>
      </c>
      <c r="G595" s="16" t="inlineStr">
        <is>
          <t>メンバーラウンジ(招待制のグループ内スペース、投稿・コメント・リアクション)がある。料金は限定モニター向け『3か月無料』の記載のみで有料サービスとして案内。Peatix Liveにライブチャットあり。一般的な参加者同士の掲示板は確認できず</t>
        </is>
      </c>
    </row>
    <row r="596">
      <c r="A596" s="16" t="inlineStr">
        <is>
          <t>Peatix</t>
        </is>
      </c>
      <c r="B596" s="16" t="inlineStr">
        <is>
          <t>CR08</t>
        </is>
      </c>
      <c r="C596" s="16" t="inlineStr">
        <is>
          <t>年間まとめ・振り返り共有</t>
        </is>
      </c>
      <c r="D596" s="13" t="inlineStr">
        <is>
          <t>？</t>
        </is>
      </c>
      <c r="E596" s="16" t="inlineStr">
        <is>
          <t>なし</t>
        </is>
      </c>
      <c r="F596" s="16" t="inlineStr"/>
      <c r="G596" s="16" t="inlineStr">
        <is>
          <t>年間まとめ・振り返りの共有機能は確認できず</t>
        </is>
      </c>
    </row>
    <row r="597">
      <c r="A597" s="16" t="inlineStr">
        <is>
          <t>Peatix</t>
        </is>
      </c>
      <c r="B597" s="16" t="inlineStr">
        <is>
          <t>TS01</t>
        </is>
      </c>
      <c r="C597" s="16" t="inlineStr">
        <is>
          <t>本人確認・認証</t>
        </is>
      </c>
      <c r="D597" s="13" t="inlineStr">
        <is>
          <t>？</t>
        </is>
      </c>
      <c r="E597" s="16" t="inlineStr">
        <is>
          <t>なし</t>
        </is>
      </c>
      <c r="F597" s="16" t="inlineStr"/>
      <c r="G597" s="16" t="inlineStr">
        <is>
          <t>利用者の本人確認は確認できず(主催者は売上受取用の口座登録のみ)</t>
        </is>
      </c>
    </row>
    <row r="598">
      <c r="A598" s="16" t="inlineStr">
        <is>
          <t>Peatix</t>
        </is>
      </c>
      <c r="B598" s="16" t="inlineStr">
        <is>
          <t>TS02</t>
        </is>
      </c>
      <c r="C598" s="16" t="inlineStr">
        <is>
          <t>主催者の審査・認定</t>
        </is>
      </c>
      <c r="D598" s="13" t="inlineStr">
        <is>
          <t>△</t>
        </is>
      </c>
      <c r="E598" s="16" t="inlineStr">
        <is>
          <t>公式</t>
        </is>
      </c>
      <c r="F598" s="17" t="inlineStr">
        <is>
          <t>https://learning.peatix.com/ja/how-to-use/free-customer-attraction</t>
        </is>
      </c>
      <c r="G598" s="16" t="inlineStr">
        <is>
          <t>検索・関連イベント・メルマガへの掲載は、公開設定とカテゴリ設定をしたうえでPeatixの審査(2営業日程度)を通ったイベントのみ。告知ページ作成自体は事前審査なし。認定バッジは確認できず</t>
        </is>
      </c>
    </row>
    <row r="599">
      <c r="A599" s="16" t="inlineStr">
        <is>
          <t>Peatix</t>
        </is>
      </c>
      <c r="B599" s="16" t="inlineStr">
        <is>
          <t>TS03</t>
        </is>
      </c>
      <c r="C599" s="16" t="inlineStr">
        <is>
          <t>通報・ブロック・モデレーション</t>
        </is>
      </c>
      <c r="D599" s="13" t="inlineStr">
        <is>
          <t>△</t>
        </is>
      </c>
      <c r="E599" s="16" t="inlineStr">
        <is>
          <t>公式</t>
        </is>
      </c>
      <c r="F599" s="17" t="inlineStr">
        <is>
          <t>https://help-organizer.peatix.com/en/support/solutions/folders/44001221694</t>
        </is>
      </c>
      <c r="G599" s="16" t="inlineStr">
        <is>
          <t>ヘルプに『TOS/ガイドライン違反の報告』フォルダと手順記事(題名のみ確認、本文は未読)がある。コミュニティガイドラインとDMCAの案内もある。ブロック機能は確認できず</t>
        </is>
      </c>
    </row>
    <row r="600">
      <c r="A600" s="16" t="inlineStr">
        <is>
          <t>Peatix</t>
        </is>
      </c>
      <c r="B600" s="16" t="inlineStr">
        <is>
          <t>TS04</t>
        </is>
      </c>
      <c r="C600" s="16" t="inlineStr">
        <is>
          <t>ドタキャン対策</t>
        </is>
      </c>
      <c r="D600" s="13" t="inlineStr">
        <is>
          <t>✅</t>
        </is>
      </c>
      <c r="E600" s="16" t="inlineStr">
        <is>
          <t>公式</t>
        </is>
      </c>
      <c r="F600" s="17" t="inlineStr">
        <is>
          <t>https://help-attendee.peatix.com/en/support/solutions/articles/44001822284-how-to-make-ticket-cancellation-requests</t>
        </is>
      </c>
      <c r="G600" s="16" t="inlineStr">
        <is>
          <t>有料チケットは事前決済で、カード/コンビニ/ATM/銀行振込(期限内に未払いなら自動キャンセル)。キャンセル可否は主催者のキャンセルポリシーによる。無料イベントの欠席料・デポジットは確認できず</t>
        </is>
      </c>
    </row>
    <row r="601">
      <c r="A601" s="16" t="inlineStr">
        <is>
          <t>Peatix</t>
        </is>
      </c>
      <c r="B601" s="16" t="inlineStr">
        <is>
          <t>TS05</t>
        </is>
      </c>
      <c r="C601" s="16" t="inlineStr">
        <is>
          <t>参加者情報の保護</t>
        </is>
      </c>
      <c r="D601" s="13" t="inlineStr">
        <is>
          <t>✅</t>
        </is>
      </c>
      <c r="E601" s="16" t="inlineStr">
        <is>
          <t>公式</t>
        </is>
      </c>
      <c r="F601" s="17" t="inlineStr">
        <is>
          <t>https://help-organizer.peatix.com/en/support/solutions/articles/44001821716-how-to-create-a-group-an-event-physical-event-</t>
        </is>
      </c>
      <c r="G601" s="16" t="inlineStr">
        <is>
          <t>参加者名・人数のイベントページ表示は主催者が設定できる。参加者プロフィールは既定で『グループメンバーのみ』公開(公開/グループメンバーのみ/自分のみから選択)</t>
        </is>
      </c>
    </row>
    <row r="602">
      <c r="A602" s="16" t="inlineStr">
        <is>
          <t>Peatix</t>
        </is>
      </c>
      <c r="B602" s="16" t="inlineStr">
        <is>
          <t>TS06</t>
        </is>
      </c>
      <c r="C602" s="16" t="inlineStr">
        <is>
          <t>直接取引の抑止</t>
        </is>
      </c>
      <c r="D602" s="13" t="inlineStr">
        <is>
          <t>？</t>
        </is>
      </c>
      <c r="E602" s="16" t="inlineStr">
        <is>
          <t>なし</t>
        </is>
      </c>
      <c r="F602" s="16" t="inlineStr"/>
      <c r="G602" s="16" t="inlineStr">
        <is>
          <t>プラットフォーム外取引を抑える規約・仕組みは、利用規約を読めておらず確認できず</t>
        </is>
      </c>
    </row>
    <row r="603">
      <c r="A603" s="16" t="inlineStr">
        <is>
          <t>Peatix</t>
        </is>
      </c>
      <c r="B603" s="16" t="inlineStr">
        <is>
          <t>FD01</t>
        </is>
      </c>
      <c r="C603" s="16" t="inlineStr">
        <is>
          <t>メニューの事前注文・選択</t>
        </is>
      </c>
      <c r="D603" s="13" t="inlineStr">
        <is>
          <t>△</t>
        </is>
      </c>
      <c r="E603" s="16" t="inlineStr">
        <is>
          <t>公式</t>
        </is>
      </c>
      <c r="F603" s="17" t="inlineStr">
        <is>
          <t>https://help-organizer.peatix.com/en/support/solutions/articles/44001821720-how-to-use-a-form-to-collect-information-from-attendees</t>
        </is>
      </c>
      <c r="G603" s="16" t="inlineStr">
        <is>
          <t>料理選択の専用機能はない。チケット種別(コース別)や事前アンケートのラジオ/プルダウンで代用できる。実例の食事会は『料理4種盛り+1ドリンク』を1チケット(5,500円)で販売</t>
        </is>
      </c>
    </row>
    <row r="604">
      <c r="A604" s="16" t="inlineStr">
        <is>
          <t>Peatix</t>
        </is>
      </c>
      <c r="B604" s="16" t="inlineStr">
        <is>
          <t>FD02</t>
        </is>
      </c>
      <c r="C604" s="16" t="inlineStr">
        <is>
          <t>アレルギー・食の好みの登録</t>
        </is>
      </c>
      <c r="D604" s="13" t="inlineStr">
        <is>
          <t>△</t>
        </is>
      </c>
      <c r="E604" s="16" t="inlineStr">
        <is>
          <t>公式</t>
        </is>
      </c>
      <c r="F604" s="17" t="inlineStr">
        <is>
          <t>https://help-organizer.peatix.com/en/support/solutions/articles/44001821720-how-to-use-a-form-to-collect-information-from-attendees</t>
        </is>
      </c>
      <c r="G604" s="16" t="inlineStr">
        <is>
          <t>アレルギー登録の専用機能は確認できず。事前アンケート(自由記述/選択)で収集でき、CSVに含まれる(終了30日後に自動削除)</t>
        </is>
      </c>
    </row>
    <row r="605">
      <c r="A605" s="16" t="inlineStr">
        <is>
          <t>Peatix</t>
        </is>
      </c>
      <c r="B605" s="16" t="inlineStr">
        <is>
          <t>FD03</t>
        </is>
      </c>
      <c r="C605" s="16" t="inlineStr">
        <is>
          <t>店舗向け管理画面</t>
        </is>
      </c>
      <c r="D605" s="13" t="inlineStr">
        <is>
          <t>？</t>
        </is>
      </c>
      <c r="E605" s="16" t="inlineStr">
        <is>
          <t>なし</t>
        </is>
      </c>
      <c r="F605" s="16" t="inlineStr"/>
      <c r="G605" s="16" t="inlineStr">
        <is>
          <t>店舗向けの管理画面は確認できず(主催者向け管理画面のみ)</t>
        </is>
      </c>
    </row>
    <row r="606">
      <c r="A606" s="16" t="inlineStr">
        <is>
          <t>Peatix</t>
        </is>
      </c>
      <c r="B606" s="16" t="inlineStr">
        <is>
          <t>FD04</t>
        </is>
      </c>
      <c r="C606" s="16" t="inlineStr">
        <is>
          <t>人数確定の店舗通知・集計</t>
        </is>
      </c>
      <c r="D606" s="13" t="inlineStr">
        <is>
          <t>？</t>
        </is>
      </c>
      <c r="E606" s="16" t="inlineStr">
        <is>
          <t>なし</t>
        </is>
      </c>
      <c r="F606" s="16" t="inlineStr"/>
      <c r="G606" s="16" t="inlineStr">
        <is>
          <t>人数・注文を店舗へ自動通知し集計する機能は確認できず</t>
        </is>
      </c>
    </row>
    <row r="607">
      <c r="A607" s="16" t="inlineStr">
        <is>
          <t>Peatix</t>
        </is>
      </c>
      <c r="B607" s="16" t="inlineStr">
        <is>
          <t>FD05</t>
        </is>
      </c>
      <c r="C607" s="16" t="inlineStr">
        <is>
          <t>席の確保・貸切の連携</t>
        </is>
      </c>
      <c r="D607" s="13" t="inlineStr">
        <is>
          <t>？</t>
        </is>
      </c>
      <c r="E607" s="16" t="inlineStr">
        <is>
          <t>なし</t>
        </is>
      </c>
      <c r="F607" s="16" t="inlineStr"/>
      <c r="G607" s="16" t="inlineStr">
        <is>
          <t>店舗の席・貸切の確保と連動する機能は確認できず</t>
        </is>
      </c>
    </row>
    <row r="608">
      <c r="A608" s="16" t="inlineStr">
        <is>
          <t>Peatix</t>
        </is>
      </c>
      <c r="B608" s="16" t="inlineStr">
        <is>
          <t>FD06</t>
        </is>
      </c>
      <c r="C608" s="16" t="inlineStr">
        <is>
          <t>コース・固定メニュー</t>
        </is>
      </c>
      <c r="D608" s="13" t="inlineStr">
        <is>
          <t>△</t>
        </is>
      </c>
      <c r="E608" s="16" t="inlineStr">
        <is>
          <t>実機</t>
        </is>
      </c>
      <c r="F608" s="17" t="inlineStr">
        <is>
          <t>https://peatix.com/event/5191994</t>
        </is>
      </c>
      <c r="G608" s="16" t="inlineStr">
        <is>
          <t>固定コースはチケット種別として作成できる(実例: 料理4種盛り+1ドリンクの5,500円チケット)。コース選択の専用UIは確認できず</t>
        </is>
      </c>
    </row>
    <row r="609">
      <c r="A609" s="16" t="inlineStr">
        <is>
          <t>Peatix</t>
        </is>
      </c>
      <c r="B609" s="16" t="inlineStr">
        <is>
          <t>FD07</t>
        </is>
      </c>
      <c r="C609" s="16" t="inlineStr">
        <is>
          <t>割り勘・個別会計</t>
        </is>
      </c>
      <c r="D609" s="13" t="inlineStr">
        <is>
          <t>？</t>
        </is>
      </c>
      <c r="E609" s="16" t="inlineStr">
        <is>
          <t>なし</t>
        </is>
      </c>
      <c r="F609" s="16" t="inlineStr"/>
      <c r="G609" s="16" t="inlineStr">
        <is>
          <t>割り勘・個別会計の機能は確認できず</t>
        </is>
      </c>
    </row>
    <row r="610">
      <c r="A610" s="16" t="inlineStr">
        <is>
          <t>Peatix</t>
        </is>
      </c>
      <c r="B610" s="16" t="inlineStr">
        <is>
          <t>FD08</t>
        </is>
      </c>
      <c r="C610" s="16" t="inlineStr">
        <is>
          <t>店探し・店選び支援</t>
        </is>
      </c>
      <c r="D610" s="13" t="inlineStr">
        <is>
          <t>？</t>
        </is>
      </c>
      <c r="E610" s="16" t="inlineStr">
        <is>
          <t>なし</t>
        </is>
      </c>
      <c r="F610" s="16" t="inlineStr"/>
      <c r="G610" s="16" t="inlineStr">
        <is>
          <t>店探し・店選びの支援機能は確認できず(会場は主催者が住所入力)</t>
        </is>
      </c>
    </row>
    <row r="611">
      <c r="A611" s="16" t="inlineStr">
        <is>
          <t>Peatix</t>
        </is>
      </c>
      <c r="B611" s="16" t="inlineStr">
        <is>
          <t>FD09</t>
        </is>
      </c>
      <c r="C611" s="16" t="inlineStr">
        <is>
          <t>売り切れ・限定数の管理</t>
        </is>
      </c>
      <c r="D611" s="13" t="inlineStr">
        <is>
          <t>△</t>
        </is>
      </c>
      <c r="E611" s="16" t="inlineStr">
        <is>
          <t>公式</t>
        </is>
      </c>
      <c r="F611" s="17" t="inlineStr">
        <is>
          <t>https://help-organizer.peatix.com/en/support/solutions/articles/44001821716-how-to-create-a-group-an-event-physical-event-</t>
        </is>
      </c>
      <c r="G611" s="16" t="inlineStr">
        <is>
          <t>チケットごとに販売枚数(限定数)を設定でき、売り切れで申込終了になる。メニュー単位の在庫管理は確認できず</t>
        </is>
      </c>
    </row>
    <row r="612">
      <c r="A612" s="16" t="inlineStr">
        <is>
          <t>Peatix</t>
        </is>
      </c>
      <c r="B612" s="16" t="inlineStr">
        <is>
          <t>FD10</t>
        </is>
      </c>
      <c r="C612" s="16" t="inlineStr">
        <is>
          <t>提供形態の選択</t>
        </is>
      </c>
      <c r="D612" s="13" t="inlineStr">
        <is>
          <t>？</t>
        </is>
      </c>
      <c r="E612" s="16" t="inlineStr">
        <is>
          <t>なし</t>
        </is>
      </c>
      <c r="F612" s="16" t="inlineStr"/>
      <c r="G612" s="16" t="inlineStr">
        <is>
          <t>対面/オンラインの開催形式の選択のみ。イートイン/テイクアウト/デリバリーの選択は確認できず</t>
        </is>
      </c>
    </row>
    <row r="613">
      <c r="A613" s="16" t="inlineStr">
        <is>
          <t>Peatix</t>
        </is>
      </c>
      <c r="B613" s="16" t="inlineStr">
        <is>
          <t>MN01</t>
        </is>
      </c>
      <c r="C613" s="16" t="inlineStr">
        <is>
          <t>手数料の明示</t>
        </is>
      </c>
      <c r="D613" s="13" t="inlineStr">
        <is>
          <t>✅</t>
        </is>
      </c>
      <c r="E613" s="16" t="inlineStr">
        <is>
          <t>公式</t>
        </is>
      </c>
      <c r="F613" s="17" t="inlineStr">
        <is>
          <t>https://help-organizer.peatix.com/en/support/solutions/articles/44001821779-peatix-pricing</t>
        </is>
      </c>
      <c r="G613" s="16" t="inlineStr">
        <is>
          <t>日本は4.9%+99円/枚(決済手数料込み)で無料は0円、購入者は予約手数料なし。2013-02に6%→2.9%+70円/注文へ値下げし5か月で累計5,000→10,000イベント(相関のみ、グロース根拠あり)、2026年は4.9%+99円/枚。ページ表記は©2024だが2026-06の変更予告を含む</t>
        </is>
      </c>
    </row>
    <row r="614">
      <c r="A614" s="16" t="inlineStr">
        <is>
          <t>Peatix</t>
        </is>
      </c>
      <c r="B614" s="16" t="inlineStr">
        <is>
          <t>MN02</t>
        </is>
      </c>
      <c r="C614" s="16" t="inlineStr">
        <is>
          <t>主催者向け有料プラン</t>
        </is>
      </c>
      <c r="D614" s="13" t="inlineStr">
        <is>
          <t>❌</t>
        </is>
      </c>
      <c r="E614" s="16" t="inlineStr">
        <is>
          <t>公式</t>
        </is>
      </c>
      <c r="F614" s="17" t="inlineStr">
        <is>
          <t>https://services.peatix.com/ja/pricing</t>
        </is>
      </c>
      <c r="G614" s="16" t="inlineStr">
        <is>
          <t>料金ページに『初期登録料、月額費無料』と明記。有料は集客サービス(従量)のみで、主催者向けのサブスクプランはない</t>
        </is>
      </c>
    </row>
    <row r="615">
      <c r="A615" s="16" t="inlineStr">
        <is>
          <t>Peatix</t>
        </is>
      </c>
      <c r="B615" s="16" t="inlineStr">
        <is>
          <t>MN03</t>
        </is>
      </c>
      <c r="C615" s="16" t="inlineStr">
        <is>
          <t>任意チップ・寄付</t>
        </is>
      </c>
      <c r="D615" s="13" t="inlineStr">
        <is>
          <t>？</t>
        </is>
      </c>
      <c r="E615" s="16" t="inlineStr">
        <is>
          <t>なし</t>
        </is>
      </c>
      <c r="F615" s="16" t="inlineStr"/>
      <c r="G615" s="16" t="inlineStr">
        <is>
          <t>チップ・寄付の上乗せ機能は確認できず。2014年に『イベントカンパ機能』ベータ(二次)。定額課金は返礼のない寄付・募金には使えないと公式に記載</t>
        </is>
      </c>
    </row>
    <row r="616">
      <c r="A616" s="16" t="inlineStr">
        <is>
          <t>Peatix</t>
        </is>
      </c>
      <c r="B616" s="16" t="inlineStr">
        <is>
          <t>MN04</t>
        </is>
      </c>
      <c r="C616" s="16" t="inlineStr">
        <is>
          <t>クーポン・割引コード</t>
        </is>
      </c>
      <c r="D616" s="13" t="inlineStr">
        <is>
          <t>✅</t>
        </is>
      </c>
      <c r="E616" s="16" t="inlineStr">
        <is>
          <t>公式</t>
        </is>
      </c>
      <c r="F616" s="17" t="inlineStr">
        <is>
          <t>https://help-organizer.peatix.com/en/support/solutions/articles/44001821716-how-to-create-a-group-an-event-physical-event-</t>
        </is>
      </c>
      <c r="G616" s="16" t="inlineStr">
        <is>
          <t>割引コードの作成と先行販売期間(早割)の設定ができる。割引コードで無料になった有料チケットは手数料がかからない</t>
        </is>
      </c>
    </row>
    <row r="617">
      <c r="A617" s="16" t="inlineStr">
        <is>
          <t>Peatix</t>
        </is>
      </c>
      <c r="B617" s="16" t="inlineStr">
        <is>
          <t>MN05</t>
        </is>
      </c>
      <c r="C617" s="16" t="inlineStr">
        <is>
          <t>ポイント・会員特典</t>
        </is>
      </c>
      <c r="D617" s="13" t="inlineStr">
        <is>
          <t>△</t>
        </is>
      </c>
      <c r="E617" s="16" t="inlineStr">
        <is>
          <t>公式</t>
        </is>
      </c>
      <c r="F617" s="17" t="inlineStr">
        <is>
          <t>https://services.peatix.com/ja/subscription</t>
        </is>
      </c>
      <c r="G617" s="16" t="inlineStr">
        <is>
          <t>定額課金プラン(月額/年額会費・入会費、会員限定メッセージ、CSV、手数料10%)で会員向け特典を主催者が設定できる。ポイント/ロイヤルティ制度は確認できず</t>
        </is>
      </c>
    </row>
    <row r="618">
      <c r="A618" s="16" t="inlineStr">
        <is>
          <t>Doorkeeper</t>
        </is>
      </c>
      <c r="B618" s="16" t="inlineStr">
        <is>
          <t>DS01</t>
        </is>
      </c>
      <c r="C618" s="16" t="inlineStr">
        <is>
          <t>キーワード・カテゴリ検索</t>
        </is>
      </c>
      <c r="D618" s="13" t="inlineStr">
        <is>
          <t>✅</t>
        </is>
      </c>
      <c r="E618" s="16" t="inlineStr">
        <is>
          <t>公式</t>
        </is>
      </c>
      <c r="F618" s="17" t="inlineStr">
        <is>
          <t>https://www.doorkeeper.jp/events?q=%E9%A3%9F%E4%BA%8B</t>
        </is>
      </c>
      <c r="G618" s="16" t="inlineStr">
        <is>
          <t>検索ボックスでキーワード検索でき、異業種交流・フード・ドリンク・ビジネス・IT・健康のトピックショートカットもある</t>
        </is>
      </c>
    </row>
    <row r="619">
      <c r="A619" s="16" t="inlineStr">
        <is>
          <t>Doorkeeper</t>
        </is>
      </c>
      <c r="B619" s="16" t="inlineStr">
        <is>
          <t>DS02</t>
        </is>
      </c>
      <c r="C619" s="16" t="inlineStr">
        <is>
          <t>地域・地図検索</t>
        </is>
      </c>
      <c r="D619" s="13" t="inlineStr">
        <is>
          <t>△</t>
        </is>
      </c>
      <c r="E619" s="16" t="inlineStr">
        <is>
          <t>公式</t>
        </is>
      </c>
      <c r="F619" s="17" t="inlineStr">
        <is>
          <t>https://www.doorkeeper.jp/events/recently_published</t>
        </is>
      </c>
      <c r="G619" s="16" t="inlineStr">
        <is>
          <t>都道府県単位(全国+47都道府県)の絞り込みのみ確認。駅・現在地・地図での絞り込みは確認できず(会場の地図表示リンクのみ)</t>
        </is>
      </c>
    </row>
    <row r="620">
      <c r="A620" s="16" t="inlineStr">
        <is>
          <t>Doorkeeper</t>
        </is>
      </c>
      <c r="B620" s="16" t="inlineStr">
        <is>
          <t>DS03</t>
        </is>
      </c>
      <c r="C620" s="16" t="inlineStr">
        <is>
          <t>日付・価格等の絞り込み</t>
        </is>
      </c>
      <c r="D620" s="13" t="inlineStr">
        <is>
          <t>△</t>
        </is>
      </c>
      <c r="E620" s="16" t="inlineStr">
        <is>
          <t>公式</t>
        </is>
      </c>
      <c r="F620" s="17" t="inlineStr">
        <is>
          <t>https://www.doorkeeper.jp/events?q=%E9%A3%9F%E4%BA%8B</t>
        </is>
      </c>
      <c r="G620" s="16" t="inlineStr">
        <is>
          <t>『日付で探す』がある。価格・曜日・オンライン/オフラインの絞り込みは確認できず</t>
        </is>
      </c>
    </row>
    <row r="621">
      <c r="A621" s="16" t="inlineStr">
        <is>
          <t>Doorkeeper</t>
        </is>
      </c>
      <c r="B621" s="16" t="inlineStr">
        <is>
          <t>DS04</t>
        </is>
      </c>
      <c r="C621" s="16" t="inlineStr">
        <is>
          <t>パーソナライズ推薦</t>
        </is>
      </c>
      <c r="D621" s="13" t="inlineStr">
        <is>
          <t>△</t>
        </is>
      </c>
      <c r="E621" s="16" t="inlineStr">
        <is>
          <t>公式</t>
        </is>
      </c>
      <c r="F621" s="17" t="inlineStr">
        <is>
          <t>https://support.doorkeeper.jp/article/34-promotion</t>
        </is>
      </c>
      <c r="G621" s="16" t="inlineStr">
        <is>
          <t>過去の参加履歴やプロフィールに基づくおすすめイベントをログインページ/ニュースレターで紹介(ヘルプ記事、日付不明)。個別の推薦フィードは確認できず</t>
        </is>
      </c>
    </row>
    <row r="622">
      <c r="A622" s="16" t="inlineStr">
        <is>
          <t>Doorkeeper</t>
        </is>
      </c>
      <c r="B622" s="16" t="inlineStr">
        <is>
          <t>DS05</t>
        </is>
      </c>
      <c r="C622" s="16" t="inlineStr">
        <is>
          <t>フォロー</t>
        </is>
      </c>
      <c r="D622" s="13" t="inlineStr">
        <is>
          <t>✅</t>
        </is>
      </c>
      <c r="E622" s="16" t="inlineStr">
        <is>
          <t>公式</t>
        </is>
      </c>
      <c r="F622" s="17" t="inlineStr">
        <is>
          <t>https://www.doorkeeper.jp/how-it-works</t>
        </is>
      </c>
      <c r="G622" s="16" t="inlineStr">
        <is>
          <t>コミュニティのメンバーになる(『フォロー』ではなくメンバー化)と次回以降の開催通知を受け取れる(自動イベント通知)。申込者は自動でメンバー化(CR02)</t>
        </is>
      </c>
    </row>
    <row r="623">
      <c r="A623" s="16" t="inlineStr">
        <is>
          <t>Doorkeeper</t>
        </is>
      </c>
      <c r="B623" s="16" t="inlineStr">
        <is>
          <t>DS06</t>
        </is>
      </c>
      <c r="C623" s="16" t="inlineStr">
        <is>
          <t>ブックマーク・ウィッシュリスト</t>
        </is>
      </c>
      <c r="D623" s="13" t="inlineStr">
        <is>
          <t>？</t>
        </is>
      </c>
      <c r="E623" s="16" t="inlineStr">
        <is>
          <t>なし</t>
        </is>
      </c>
      <c r="F623" s="16" t="inlineStr"/>
      <c r="G623" s="16" t="inlineStr">
        <is>
          <t>ブックマーク/お気に入り機能はイベントページ・ヘルプで確認できず</t>
        </is>
      </c>
    </row>
    <row r="624">
      <c r="A624" s="16" t="inlineStr">
        <is>
          <t>Doorkeeper</t>
        </is>
      </c>
      <c r="B624" s="16" t="inlineStr">
        <is>
          <t>DS07</t>
        </is>
      </c>
      <c r="C624" s="16" t="inlineStr">
        <is>
          <t>公開ディレクトリ・都市×カテゴリページ</t>
        </is>
      </c>
      <c r="D624" s="13" t="inlineStr">
        <is>
          <t>✅</t>
        </is>
      </c>
      <c r="E624" s="16" t="inlineStr">
        <is>
          <t>公式</t>
        </is>
      </c>
      <c r="F624" s="17" t="inlineStr">
        <is>
          <t>https://www.doorkeeper.jp/topics</t>
        </is>
      </c>
      <c r="G624" s="16" t="inlineStr">
        <is>
          <t>トピック別の一覧(/topics/{スラッグ}、10カテゴリ)と都道府県別一覧がある。検索流入への効果は未確認で、都市×カテゴリの組み合わせページは確認できず</t>
        </is>
      </c>
    </row>
    <row r="625">
      <c r="A625" s="16" t="inlineStr">
        <is>
          <t>Doorkeeper</t>
        </is>
      </c>
      <c r="B625" s="16" t="inlineStr">
        <is>
          <t>DS08</t>
        </is>
      </c>
      <c r="C625" s="16" t="inlineStr">
        <is>
          <t>キュレーション・特集</t>
        </is>
      </c>
      <c r="D625" s="13" t="inlineStr">
        <is>
          <t>△</t>
        </is>
      </c>
      <c r="E625" s="16" t="inlineStr">
        <is>
          <t>公式</t>
        </is>
      </c>
      <c r="F625" s="17" t="inlineStr">
        <is>
          <t>https://support.doorkeeper.jp/article/34-promotion</t>
        </is>
      </c>
      <c r="G625" s="16" t="inlineStr">
        <is>
          <t>審査に通ったコミュニティのイベントを、カテゴリ別リスト・おすすめ・ニュースレター・外部イベントサイト・X(Twitter)ボットで紹介(集客サポート)。運営の手動特集やランキングは確認できず</t>
        </is>
      </c>
    </row>
    <row r="626">
      <c r="A626" s="16" t="inlineStr">
        <is>
          <t>Doorkeeper</t>
        </is>
      </c>
      <c r="B626" s="16" t="inlineStr">
        <is>
          <t>JN01</t>
        </is>
      </c>
      <c r="C626" s="16" t="inlineStr">
        <is>
          <t>アカウント不要の申込</t>
        </is>
      </c>
      <c r="D626" s="13" t="inlineStr">
        <is>
          <t>✅</t>
        </is>
      </c>
      <c r="E626" s="16" t="inlineStr">
        <is>
          <t>公式</t>
        </is>
      </c>
      <c r="F626" s="17" t="inlineStr">
        <is>
          <t>https://www.doorkeeper.jp/features</t>
        </is>
      </c>
      <c r="G626" s="16" t="inlineStr">
        <is>
          <t>『メールアドレスだけで申し込み』と機能一覧に明記(アカウント不要)。ソーシャルログイン(Facebook/X/GitHub/LinkedIn)でも申込可。グロース根拠あり(弱: 数値なし、Luma・Partifulと並ぶ摩擦低減の例)</t>
        </is>
      </c>
    </row>
    <row r="627">
      <c r="A627" s="16" t="inlineStr">
        <is>
          <t>Doorkeeper</t>
        </is>
      </c>
      <c r="B627" s="16" t="inlineStr">
        <is>
          <t>JN02</t>
        </is>
      </c>
      <c r="C627" s="16" t="inlineStr">
        <is>
          <t>簡易ログイン</t>
        </is>
      </c>
      <c r="D627" s="13" t="inlineStr">
        <is>
          <t>✅</t>
        </is>
      </c>
      <c r="E627" s="16" t="inlineStr">
        <is>
          <t>公式</t>
        </is>
      </c>
      <c r="F627" s="17" t="inlineStr">
        <is>
          <t>https://manage.doorkeeper.jp/user/sign_in</t>
        </is>
      </c>
      <c r="G627" s="16" t="inlineStr">
        <is>
          <t>Facebook/X(Twitter)/GitHub/LinkedIn とメール+パスワードでログイン・申込できる。Google・Apple・LINEログインは確認できず(IT勉強会向けの構成)</t>
        </is>
      </c>
    </row>
    <row r="628">
      <c r="A628" s="16" t="inlineStr">
        <is>
          <t>Doorkeeper</t>
        </is>
      </c>
      <c r="B628" s="16" t="inlineStr">
        <is>
          <t>JN03</t>
        </is>
      </c>
      <c r="C628" s="16" t="inlineStr">
        <is>
          <t>承認制・参加申請</t>
        </is>
      </c>
      <c r="D628" s="13" t="inlineStr">
        <is>
          <t>△</t>
        </is>
      </c>
      <c r="E628" s="16" t="inlineStr">
        <is>
          <t>公式</t>
        </is>
      </c>
      <c r="F628" s="17" t="inlineStr">
        <is>
          <t>https://support.doorkeeper.jp/article/86-article</t>
        </is>
      </c>
      <c r="G628" s="16" t="inlineStr">
        <is>
          <t>明示的な承認制・抽選機能はなく、抽選は『現在サポートしていません』と明記。定員0+キャンセル待ち→手動繰り上げで個別承認を代用できる(却下の機能は記載なし)</t>
        </is>
      </c>
    </row>
    <row r="629">
      <c r="A629" s="16" t="inlineStr">
        <is>
          <t>Doorkeeper</t>
        </is>
      </c>
      <c r="B629" s="16" t="inlineStr">
        <is>
          <t>JN04</t>
        </is>
      </c>
      <c r="C629" s="16" t="inlineStr">
        <is>
          <t>ウェイトリスト</t>
        </is>
      </c>
      <c r="D629" s="13" t="inlineStr">
        <is>
          <t>✅</t>
        </is>
      </c>
      <c r="E629" s="16" t="inlineStr">
        <is>
          <t>公式</t>
        </is>
      </c>
      <c r="F629" s="17" t="inlineStr">
        <is>
          <t>https://support.doorkeeper.jp/article/70-waitlist</t>
        </is>
      </c>
      <c r="G629" s="16" t="inlineStr">
        <is>
          <t>定員超過分は自動でキャンセル待ちになり、空きが出ると登録順に自動繰り上げ(メール通知)。手動繰り上げは定員超過もできる</t>
        </is>
      </c>
    </row>
    <row r="630">
      <c r="A630" s="16" t="inlineStr">
        <is>
          <t>Doorkeeper</t>
        </is>
      </c>
      <c r="B630" s="16" t="inlineStr">
        <is>
          <t>JN05</t>
        </is>
      </c>
      <c r="C630" s="16" t="inlineStr">
        <is>
          <t>定員・残席の表示</t>
        </is>
      </c>
      <c r="D630" s="13" t="inlineStr">
        <is>
          <t>✅</t>
        </is>
      </c>
      <c r="E630" s="16" t="inlineStr">
        <is>
          <t>実機</t>
        </is>
      </c>
      <c r="F630" s="17" t="inlineStr">
        <is>
          <t>https://techgym.doorkeeper.jp/events/199857</t>
        </is>
      </c>
      <c r="G630" s="16" t="inlineStr">
        <is>
          <t>イベントページに『あと5人参加できます。』と残席を表示(ブラウザで実ページを確認、スクショIDなし)。定員はイベント全体とチケット別に設定可</t>
        </is>
      </c>
    </row>
    <row r="631">
      <c r="A631" s="16" t="inlineStr">
        <is>
          <t>Doorkeeper</t>
        </is>
      </c>
      <c r="B631" s="16" t="inlineStr">
        <is>
          <t>JN06</t>
        </is>
      </c>
      <c r="C631" s="16" t="inlineStr">
        <is>
          <t>追加質問・同行者の入力</t>
        </is>
      </c>
      <c r="D631" s="13" t="inlineStr">
        <is>
          <t>✅</t>
        </is>
      </c>
      <c r="E631" s="16" t="inlineStr">
        <is>
          <t>公式</t>
        </is>
      </c>
      <c r="F631" s="17" t="inlineStr">
        <is>
          <t>https://www.doorkeeper.jp/how-it-works</t>
        </is>
      </c>
      <c r="G631" s="16" t="inlineStr">
        <is>
          <t>イベントごとに質問を追加して申込フォームをカスタマイズでき、メンバー登録時の質問も作れる。同行者の入力は確認できず</t>
        </is>
      </c>
    </row>
    <row r="632">
      <c r="A632" s="16" t="inlineStr">
        <is>
          <t>Doorkeeper</t>
        </is>
      </c>
      <c r="B632" s="16" t="inlineStr">
        <is>
          <t>JN07</t>
        </is>
      </c>
      <c r="C632" s="16" t="inlineStr">
        <is>
          <t>参加者のセルフキャンセル</t>
        </is>
      </c>
      <c r="D632" s="13" t="inlineStr">
        <is>
          <t>△</t>
        </is>
      </c>
      <c r="E632" s="16" t="inlineStr">
        <is>
          <t>公式</t>
        </is>
      </c>
      <c r="F632" s="17" t="inlineStr">
        <is>
          <t>https://support.doorkeeper.jp/article/17-cancel-event</t>
        </is>
      </c>
      <c r="G632" s="16" t="inlineStr">
        <is>
          <t>無料・会場払い・未払いは参加者が自分でキャンセルでき、メールのリンクからならアカウント不要。前払い済みはDoorkeeper上でキャンセルせず主催者へ直接連絡(返金は主催者が管理画面から実行)</t>
        </is>
      </c>
    </row>
    <row r="633">
      <c r="A633" s="16" t="inlineStr">
        <is>
          <t>Doorkeeper</t>
        </is>
      </c>
      <c r="B633" s="16" t="inlineStr">
        <is>
          <t>JN08</t>
        </is>
      </c>
      <c r="C633" s="16" t="inlineStr">
        <is>
          <t>カレンダー追加</t>
        </is>
      </c>
      <c r="D633" s="13" t="inlineStr">
        <is>
          <t>✅</t>
        </is>
      </c>
      <c r="E633" s="16" t="inlineStr">
        <is>
          <t>実機</t>
        </is>
      </c>
      <c r="F633" s="17" t="inlineStr">
        <is>
          <t>https://techgym.doorkeeper.jp/events/199857</t>
        </is>
      </c>
      <c r="G633" s="16" t="inlineStr">
        <is>
          <t>イベントページに『Google カレンダーに追加』リンクがある。デジタルチケットのカレンダー/Appleウォレット登録も公式に記載</t>
        </is>
      </c>
    </row>
    <row r="634">
      <c r="A634" s="16" t="inlineStr">
        <is>
          <t>Doorkeeper</t>
        </is>
      </c>
      <c r="B634" s="16" t="inlineStr">
        <is>
          <t>JN09</t>
        </is>
      </c>
      <c r="C634" s="16" t="inlineStr">
        <is>
          <t>開催前リマインド</t>
        </is>
      </c>
      <c r="D634" s="13" t="inlineStr">
        <is>
          <t>✅</t>
        </is>
      </c>
      <c r="E634" s="16" t="inlineStr">
        <is>
          <t>公式</t>
        </is>
      </c>
      <c r="F634" s="17" t="inlineStr">
        <is>
          <t>https://support.doorkeeper.jp/article/31-messages</t>
        </is>
      </c>
      <c r="G634" s="16" t="inlineStr">
        <is>
          <t>イベント公開時に、開催前日の参加予定者向けリマインドメールが自動設定される(編集・解除可)。送信予約もできる。LINEやプッシュは確認できず</t>
        </is>
      </c>
    </row>
    <row r="635">
      <c r="A635" s="16" t="inlineStr">
        <is>
          <t>Doorkeeper</t>
        </is>
      </c>
      <c r="B635" s="16" t="inlineStr">
        <is>
          <t>JN10</t>
        </is>
      </c>
      <c r="C635" s="16" t="inlineStr">
        <is>
          <t>QRチケット・当日受付</t>
        </is>
      </c>
      <c r="D635" s="13" t="inlineStr">
        <is>
          <t>✅</t>
        </is>
      </c>
      <c r="E635" s="16" t="inlineStr">
        <is>
          <t>公式</t>
        </is>
      </c>
      <c r="F635" s="17" t="inlineStr">
        <is>
          <t>https://support.doorkeeper.jp/article/39-checkin-devices</t>
        </is>
      </c>
      <c r="G635" s="16" t="inlineStr">
        <is>
          <t>QRコード付きデジタルチケット。iPhoneはDoorkeeperアプリ、AndroidはQRリーダー経由でスキャン、ウェブチェックイン、印刷名簿もある(オンライン開催ではQR発行なし)</t>
        </is>
      </c>
    </row>
    <row r="636">
      <c r="A636" s="16" t="inlineStr">
        <is>
          <t>Doorkeeper</t>
        </is>
      </c>
      <c r="B636" s="16" t="inlineStr">
        <is>
          <t>JN11</t>
        </is>
      </c>
      <c r="C636" s="16" t="inlineStr">
        <is>
          <t>参加者一覧の閲覧</t>
        </is>
      </c>
      <c r="D636" s="13" t="inlineStr">
        <is>
          <t>✅</t>
        </is>
      </c>
      <c r="E636" s="16" t="inlineStr">
        <is>
          <t>公式</t>
        </is>
      </c>
      <c r="F636" s="17" t="inlineStr">
        <is>
          <t>https://support.doorkeeper.jp/article/67-hide-participation</t>
        </is>
      </c>
      <c r="G636" s="16" t="inlineStr">
        <is>
          <t>イベントページに申込者一覧を表示(主催者設定で非公開も可)。参加者は申込時に『参加者一覧でアカウントを公開する』を外して非表示にできる</t>
        </is>
      </c>
    </row>
    <row r="637">
      <c r="A637" s="16" t="inlineStr">
        <is>
          <t>Doorkeeper</t>
        </is>
      </c>
      <c r="B637" s="16" t="inlineStr">
        <is>
          <t>JN12</t>
        </is>
      </c>
      <c r="C637" s="16" t="inlineStr">
        <is>
          <t>イベント後の体験</t>
        </is>
      </c>
      <c r="D637" s="13" t="inlineStr">
        <is>
          <t>✅</t>
        </is>
      </c>
      <c r="E637" s="16" t="inlineStr">
        <is>
          <t>公式</t>
        </is>
      </c>
      <c r="F637" s="17" t="inlineStr">
        <is>
          <t>https://www.doorkeeper.jp/features</t>
        </is>
      </c>
      <c r="G637" s="16" t="inlineStr">
        <is>
          <t>フォトギャラリー、コメント(開催前後、新着は参加者に通知)、参加者へのメッセージ/アンケート、終了後も参加できるメンバー化がある。レビュー・評価は確認できず</t>
        </is>
      </c>
    </row>
    <row r="638">
      <c r="A638" s="16" t="inlineStr">
        <is>
          <t>Doorkeeper</t>
        </is>
      </c>
      <c r="B638" s="16" t="inlineStr">
        <is>
          <t>SH01</t>
        </is>
      </c>
      <c r="C638" s="16" t="inlineStr">
        <is>
          <t>共有用URL・OGPカード</t>
        </is>
      </c>
      <c r="D638" s="13" t="inlineStr">
        <is>
          <t>✅</t>
        </is>
      </c>
      <c r="E638" s="16" t="inlineStr">
        <is>
          <t>実機</t>
        </is>
      </c>
      <c r="F638" s="17" t="inlineStr">
        <is>
          <t>https://techgym.doorkeeper.jp/events/199857</t>
        </is>
      </c>
      <c r="G638" s="16" t="inlineStr">
        <is>
          <t>og:title/og:image/og:description と twitter:card=summary_large_image を実ページで確認。schema.org Event の JSON-LD も出力</t>
        </is>
      </c>
    </row>
    <row r="639">
      <c r="A639" s="16" t="inlineStr">
        <is>
          <t>Doorkeeper</t>
        </is>
      </c>
      <c r="B639" s="16" t="inlineStr">
        <is>
          <t>SH02</t>
        </is>
      </c>
      <c r="C639" s="16" t="inlineStr">
        <is>
          <t>SNS・メッセージ共有ボタン</t>
        </is>
      </c>
      <c r="D639" s="13" t="inlineStr">
        <is>
          <t>✅</t>
        </is>
      </c>
      <c r="E639" s="16" t="inlineStr">
        <is>
          <t>実機</t>
        </is>
      </c>
      <c r="F639" s="17" t="inlineStr">
        <is>
          <t>https://techgym.doorkeeper.jp/events/199857</t>
        </is>
      </c>
      <c r="G639" s="16" t="inlineStr">
        <is>
          <t>Facebookシェアと X(ツイート)のボタンがある。LINE共有ボタンは確認できず</t>
        </is>
      </c>
    </row>
    <row r="640">
      <c r="A640" s="16" t="inlineStr">
        <is>
          <t>Doorkeeper</t>
        </is>
      </c>
      <c r="B640" s="16" t="inlineStr">
        <is>
          <t>SH03</t>
        </is>
      </c>
      <c r="C640" s="16" t="inlineStr">
        <is>
          <t>友人・同行者の招待導線</t>
        </is>
      </c>
      <c r="D640" s="13" t="inlineStr">
        <is>
          <t>△</t>
        </is>
      </c>
      <c r="E640" s="16" t="inlineStr">
        <is>
          <t>公式</t>
        </is>
      </c>
      <c r="F640" s="17" t="inlineStr">
        <is>
          <t>https://www.doorkeeper.jp/how-it-works</t>
        </is>
      </c>
      <c r="G640" s="16" t="inlineStr">
        <is>
          <t>主催者が友人知人向けの案内メールを送れる。参加者が申込後に友人を招く専用導線は確認できず</t>
        </is>
      </c>
    </row>
    <row r="641">
      <c r="A641" s="16" t="inlineStr">
        <is>
          <t>Doorkeeper</t>
        </is>
      </c>
      <c r="B641" s="16" t="inlineStr">
        <is>
          <t>SH04</t>
        </is>
      </c>
      <c r="C641" s="16" t="inlineStr">
        <is>
          <t>紹介リンク・紹介の可視化</t>
        </is>
      </c>
      <c r="D641" s="13" t="inlineStr">
        <is>
          <t>△</t>
        </is>
      </c>
      <c r="E641" s="16" t="inlineStr">
        <is>
          <t>公式</t>
        </is>
      </c>
      <c r="F641" s="17" t="inlineStr">
        <is>
          <t>https://www.doorkeeper.jp/features</t>
        </is>
      </c>
      <c r="G641" s="16" t="inlineStr">
        <is>
          <t>割引コード(割引・無料招待)で流入元を追跡できる。紹介者単位の紹介リンクや可視化ではない</t>
        </is>
      </c>
    </row>
    <row r="642">
      <c r="A642" s="16" t="inlineStr">
        <is>
          <t>Doorkeeper</t>
        </is>
      </c>
      <c r="B642" s="16" t="inlineStr">
        <is>
          <t>SH05</t>
        </is>
      </c>
      <c r="C642" s="16" t="inlineStr">
        <is>
          <t>連絡先・SNS連携で友人発見</t>
        </is>
      </c>
      <c r="D642" s="13" t="inlineStr">
        <is>
          <t>？</t>
        </is>
      </c>
      <c r="E642" s="16" t="inlineStr">
        <is>
          <t>なし</t>
        </is>
      </c>
      <c r="F642" s="16" t="inlineStr"/>
      <c r="G642" s="16" t="inlineStr">
        <is>
          <t>連絡先やSNSの友人から招待・発見する機能は確認できず</t>
        </is>
      </c>
    </row>
    <row r="643">
      <c r="A643" s="16" t="inlineStr">
        <is>
          <t>Doorkeeper</t>
        </is>
      </c>
      <c r="B643" s="16" t="inlineStr">
        <is>
          <t>SH06</t>
        </is>
      </c>
      <c r="C643" s="16" t="inlineStr">
        <is>
          <t>社会的証明の表示</t>
        </is>
      </c>
      <c r="D643" s="13" t="inlineStr">
        <is>
          <t>✅</t>
        </is>
      </c>
      <c r="E643" s="16" t="inlineStr">
        <is>
          <t>公式</t>
        </is>
      </c>
      <c r="F643" s="17" t="inlineStr">
        <is>
          <t>https://support.doorkeeper.jp/article/67-hide-participation</t>
        </is>
      </c>
      <c r="G643" s="16" t="inlineStr">
        <is>
          <t>申込者の参加者一覧(アカウント表示)、残席の『あと◯人』、コミュニティのメンバー一覧を表示する。主催者設定で一覧を出さないイベントもある</t>
        </is>
      </c>
    </row>
    <row r="644">
      <c r="A644" s="16" t="inlineStr">
        <is>
          <t>Doorkeeper</t>
        </is>
      </c>
      <c r="B644" s="16" t="inlineStr">
        <is>
          <t>SH07</t>
        </is>
      </c>
      <c r="C644" s="16" t="inlineStr">
        <is>
          <t>QR・短縮URL・チラシ生成</t>
        </is>
      </c>
      <c r="D644" s="13" t="inlineStr">
        <is>
          <t>？</t>
        </is>
      </c>
      <c r="E644" s="16" t="inlineStr">
        <is>
          <t>なし</t>
        </is>
      </c>
      <c r="F644" s="16" t="inlineStr"/>
      <c r="G644" s="16" t="inlineStr">
        <is>
          <t>QR・短縮URL・チラシの生成は確認できず(QRは当日受付用のみ)</t>
        </is>
      </c>
    </row>
    <row r="645">
      <c r="A645" s="16" t="inlineStr">
        <is>
          <t>Doorkeeper</t>
        </is>
      </c>
      <c r="B645" s="16" t="inlineStr">
        <is>
          <t>SH08</t>
        </is>
      </c>
      <c r="C645" s="16" t="inlineStr">
        <is>
          <t>埋め込みウィジェット</t>
        </is>
      </c>
      <c r="D645" s="13" t="inlineStr">
        <is>
          <t>✅</t>
        </is>
      </c>
      <c r="E645" s="16" t="inlineStr">
        <is>
          <t>公式</t>
        </is>
      </c>
      <c r="F645" s="17" t="inlineStr">
        <is>
          <t>https://www.doorkeeper.jp/features</t>
        </is>
      </c>
      <c r="G645" s="16" t="inlineStr">
        <is>
          <t>『申し込みフォームの設置』として、自分のサイトに申込ウィジェットを埋め込める。イベント一覧を取れる公開API(アルファ版)もある</t>
        </is>
      </c>
    </row>
    <row r="646">
      <c r="A646" s="16" t="inlineStr">
        <is>
          <t>Doorkeeper</t>
        </is>
      </c>
      <c r="B646" s="16" t="inlineStr">
        <is>
          <t>OP01</t>
        </is>
      </c>
      <c r="C646" s="16" t="inlineStr">
        <is>
          <t>簡単な作成</t>
        </is>
      </c>
      <c r="D646" s="13" t="inlineStr">
        <is>
          <t>✅</t>
        </is>
      </c>
      <c r="E646" s="16" t="inlineStr">
        <is>
          <t>公式</t>
        </is>
      </c>
      <c r="F646" s="17" t="inlineStr">
        <is>
          <t>https://www.doorkeeper.jp/organizers?locale=ja</t>
        </is>
      </c>
      <c r="G646" s="16" t="inlineStr">
        <is>
          <t>主催者向けページはイベントページ作成を前面に出し、既存調査は『コミュニティを約5分で作成』と記載(自社主張、今回の再取得では文言を再確認できず)。作成は基本情報→チケット→会場→公開の短い流れ</t>
        </is>
      </c>
    </row>
    <row r="647">
      <c r="A647" s="16" t="inlineStr">
        <is>
          <t>Doorkeeper</t>
        </is>
      </c>
      <c r="B647" s="16" t="inlineStr">
        <is>
          <t>OP02</t>
        </is>
      </c>
      <c r="C647" s="16" t="inlineStr">
        <is>
          <t>コピー・繰り返し作成</t>
        </is>
      </c>
      <c r="D647" s="13" t="inlineStr">
        <is>
          <t>✅</t>
        </is>
      </c>
      <c r="E647" s="16" t="inlineStr">
        <is>
          <t>公式</t>
        </is>
      </c>
      <c r="F647" s="17" t="inlineStr">
        <is>
          <t>https://www.doorkeeper.jp/how-it-works</t>
        </is>
      </c>
      <c r="G647" s="16" t="inlineStr">
        <is>
          <t>過去イベントのコピー作成機能がある(ヘルプ『過去に作成したイベントをコピーするには』は検索結果で確認)。繰り返し(定期)作成の設定は確認できず</t>
        </is>
      </c>
    </row>
    <row r="648">
      <c r="A648" s="16" t="inlineStr">
        <is>
          <t>Doorkeeper</t>
        </is>
      </c>
      <c r="B648" s="16" t="inlineStr">
        <is>
          <t>OP03</t>
        </is>
      </c>
      <c r="C648" s="16" t="inlineStr">
        <is>
          <t>下書き・限定公開</t>
        </is>
      </c>
      <c r="D648" s="13" t="inlineStr">
        <is>
          <t>✅</t>
        </is>
      </c>
      <c r="E648" s="16" t="inlineStr">
        <is>
          <t>公式</t>
        </is>
      </c>
      <c r="F648" s="17" t="inlineStr">
        <is>
          <t>https://support.doorkeeper.jp/article/29-event-flow</t>
        </is>
      </c>
      <c r="G648" s="16" t="inlineStr">
        <is>
          <t>作成直後は非公開状態で、『イベントを公開』で公開する。コミュニティには公開パスワードを設定でき、スターターでは不可(プロ以上、ヘルプは2019-11更新)。公開前ページの確認用ヘルプの題名も検索で確認</t>
        </is>
      </c>
    </row>
    <row r="649">
      <c r="A649" s="16" t="inlineStr">
        <is>
          <t>Doorkeeper</t>
        </is>
      </c>
      <c r="B649" s="16" t="inlineStr">
        <is>
          <t>OP04</t>
        </is>
      </c>
      <c r="C649" s="16" t="inlineStr">
        <is>
          <t>AI作成支援</t>
        </is>
      </c>
      <c r="D649" s="13" t="inlineStr">
        <is>
          <t>？</t>
        </is>
      </c>
      <c r="E649" s="16" t="inlineStr">
        <is>
          <t>なし</t>
        </is>
      </c>
      <c r="F649" s="16" t="inlineStr"/>
      <c r="G649" s="16" t="inlineStr">
        <is>
          <t>AIによる文面・画像の作成支援は公式ページ・ヘルプで確認できず</t>
        </is>
      </c>
    </row>
    <row r="650">
      <c r="A650" s="16" t="inlineStr">
        <is>
          <t>Doorkeeper</t>
        </is>
      </c>
      <c r="B650" s="16" t="inlineStr">
        <is>
          <t>OP05</t>
        </is>
      </c>
      <c r="C650" s="16" t="inlineStr">
        <is>
          <t>共同主催・運営メンバー権限</t>
        </is>
      </c>
      <c r="D650" s="13" t="inlineStr">
        <is>
          <t>△</t>
        </is>
      </c>
      <c r="E650" s="16" t="inlineStr">
        <is>
          <t>公式</t>
        </is>
      </c>
      <c r="F650" s="17" t="inlineStr">
        <is>
          <t>https://www.doorkeeper.jp/news/2023/1/17/new-administrator-privileges</t>
        </is>
      </c>
      <c r="G650" s="16" t="inlineStr">
        <is>
          <t>コミュニティオーナー/管理者/イベントマネージャー/イベントスタッフの4権限(2023-01-17追加)。プロプラン以上で利用可。共同運営者の招待もある</t>
        </is>
      </c>
    </row>
    <row r="651">
      <c r="A651" s="16" t="inlineStr">
        <is>
          <t>Doorkeeper</t>
        </is>
      </c>
      <c r="B651" s="16" t="inlineStr">
        <is>
          <t>OP06</t>
        </is>
      </c>
      <c r="C651" s="16" t="inlineStr">
        <is>
          <t>参加者管理・名簿出力</t>
        </is>
      </c>
      <c r="D651" s="13" t="inlineStr">
        <is>
          <t>✅</t>
        </is>
      </c>
      <c r="E651" s="16" t="inlineStr">
        <is>
          <t>公式</t>
        </is>
      </c>
      <c r="F651" s="17" t="inlineStr">
        <is>
          <t>https://support.doorkeeper.jp/article/27-download-member-data</t>
        </is>
      </c>
      <c r="G651" s="16" t="inlineStr">
        <is>
          <t>コミュニティメンバーと参加者(ステータス別)をExcelファイルでエクスポートできる(管理者のみ)。ヘルプは2020-03更新で、出力項目にメールが含まれるかは記載なし</t>
        </is>
      </c>
    </row>
    <row r="652">
      <c r="A652" s="16" t="inlineStr">
        <is>
          <t>Doorkeeper</t>
        </is>
      </c>
      <c r="B652" s="16" t="inlineStr">
        <is>
          <t>OP07</t>
        </is>
      </c>
      <c r="C652" s="16" t="inlineStr">
        <is>
          <t>一斉メッセージ</t>
        </is>
      </c>
      <c r="D652" s="13" t="inlineStr">
        <is>
          <t>✅</t>
        </is>
      </c>
      <c r="E652" s="16" t="inlineStr">
        <is>
          <t>公式</t>
        </is>
      </c>
      <c r="F652" s="17" t="inlineStr">
        <is>
          <t>https://support.doorkeeper.jp/article/31-messages</t>
        </is>
      </c>
      <c r="G652" s="16" t="inlineStr">
        <is>
          <t>メールを宛先10区分(参加者/支払済/未払い/キャンセル待ち/キャンセル者の種別/未登録メンバー等)に送信予約付きで送れる。開封率の確認は機能紹介ページに記載。LINE等のメール以外は確認できず</t>
        </is>
      </c>
    </row>
    <row r="653">
      <c r="A653" s="16" t="inlineStr">
        <is>
          <t>Doorkeeper</t>
        </is>
      </c>
      <c r="B653" s="16" t="inlineStr">
        <is>
          <t>OP08</t>
        </is>
      </c>
      <c r="C653" s="16" t="inlineStr">
        <is>
          <t>当日運営ツール</t>
        </is>
      </c>
      <c r="D653" s="13" t="inlineStr">
        <is>
          <t>✅</t>
        </is>
      </c>
      <c r="E653" s="16" t="inlineStr">
        <is>
          <t>公式</t>
        </is>
      </c>
      <c r="F653" s="17" t="inlineStr">
        <is>
          <t>https://support.doorkeeper.jp/article/39-checkin-devices</t>
        </is>
      </c>
      <c r="G653" s="16" t="inlineStr">
        <is>
          <t>QRコード受付(iPhoneアプリ、Androidは端末登録+QRリーダー)、ウェブチェックイン、印刷した参加者リスト。複数スタッフは端末を事前登録して使う</t>
        </is>
      </c>
    </row>
    <row r="654">
      <c r="A654" s="16" t="inlineStr">
        <is>
          <t>Doorkeeper</t>
        </is>
      </c>
      <c r="B654" s="16" t="inlineStr">
        <is>
          <t>OP09</t>
        </is>
      </c>
      <c r="C654" s="16" t="inlineStr">
        <is>
          <t>売上・入金管理</t>
        </is>
      </c>
      <c r="D654" s="13" t="inlineStr">
        <is>
          <t>✅</t>
        </is>
      </c>
      <c r="E654" s="16" t="inlineStr">
        <is>
          <t>公式</t>
        </is>
      </c>
      <c r="F654" s="17" t="inlineStr">
        <is>
          <t>https://www.doorkeeper.jp/pricing</t>
        </is>
      </c>
      <c r="G654" s="16" t="inlineStr">
        <is>
          <t>前払い参加費は主催者のStripeアカウントへ直接入金され、集金状況をイベント前に確認できる。返金は管理画面から実行。入金サイクルはStripe依存でヘルプに記載なし</t>
        </is>
      </c>
    </row>
    <row r="655">
      <c r="A655" s="16" t="inlineStr">
        <is>
          <t>Doorkeeper</t>
        </is>
      </c>
      <c r="B655" s="16" t="inlineStr">
        <is>
          <t>OP10</t>
        </is>
      </c>
      <c r="C655" s="16" t="inlineStr">
        <is>
          <t>流入・申込の分析</t>
        </is>
      </c>
      <c r="D655" s="13" t="inlineStr">
        <is>
          <t>✅</t>
        </is>
      </c>
      <c r="E655" s="16" t="inlineStr">
        <is>
          <t>公式</t>
        </is>
      </c>
      <c r="F655" s="17" t="inlineStr">
        <is>
          <t>https://www.doorkeeper.jp/features</t>
        </is>
      </c>
      <c r="G655" s="16" t="inlineStr">
        <is>
          <t>イベント分析とGoogleアナリティクス連携(GA4対応は2023-01)があり、割引コードで流入元も追跡できる</t>
        </is>
      </c>
    </row>
    <row r="656">
      <c r="A656" s="16" t="inlineStr">
        <is>
          <t>Doorkeeper</t>
        </is>
      </c>
      <c r="B656" s="16" t="inlineStr">
        <is>
          <t>OP11</t>
        </is>
      </c>
      <c r="C656" s="16" t="inlineStr">
        <is>
          <t>主催者ページ・グループページ</t>
        </is>
      </c>
      <c r="D656" s="13" t="inlineStr">
        <is>
          <t>✅</t>
        </is>
      </c>
      <c r="E656" s="16" t="inlineStr">
        <is>
          <t>公式</t>
        </is>
      </c>
      <c r="F656" s="17" t="inlineStr">
        <is>
          <t>https://www.doorkeeper.jp/how-it-works</t>
        </is>
      </c>
      <c r="G656" s="16" t="inlineStr">
        <is>
          <t>コミュニティページ(開催予定・過去イベント、メンバー、フォトのタブ。カスタマイズ可)がある</t>
        </is>
      </c>
    </row>
    <row r="657">
      <c r="A657" s="16" t="inlineStr">
        <is>
          <t>Doorkeeper</t>
        </is>
      </c>
      <c r="B657" s="16" t="inlineStr">
        <is>
          <t>OP12</t>
        </is>
      </c>
      <c r="C657" s="16" t="inlineStr">
        <is>
          <t>外部ツール連携・API</t>
        </is>
      </c>
      <c r="D657" s="13" t="inlineStr">
        <is>
          <t>△</t>
        </is>
      </c>
      <c r="E657" s="16" t="inlineStr">
        <is>
          <t>公式</t>
        </is>
      </c>
      <c r="F657" s="17" t="inlineStr">
        <is>
          <t>https://www.doorkeeper.jp/developer/api</t>
        </is>
      </c>
      <c r="G657" s="16" t="inlineStr">
        <is>
          <t>公開APIはアルファ版で、公開情報の取得のみ(Bearerトークン、CORS対応、プラン要件の記載なし)。GA4連携、Stripe連携、申込ウィジェットあり。Zoom/Slack/Mailchimp/Webhookは確認できず。日本固有: 決済はクレジット(前払い99円+2.5%+Stripe約3.6%)・コンビニ(2023-01開始、主催者側でStripeの追加審査に21〜35日)・銀行振込(手数料0円、返金は管理画面外)。請求書払いは法人ビジネスプランの料金支払い(2016-08の公式報告)。SNSはFacebook/X共有とログイン、Xボットがイベントを共有。LINE連携はヘルプ検索で0件。メンバー管理・メール配信はCR02/CR04/OP07</t>
        </is>
      </c>
    </row>
    <row r="658">
      <c r="A658" s="16" t="inlineStr">
        <is>
          <t>Doorkeeper</t>
        </is>
      </c>
      <c r="B658" s="16" t="inlineStr">
        <is>
          <t>AC01</t>
        </is>
      </c>
      <c r="C658" s="16" t="inlineStr">
        <is>
          <t>無料イベントは無料</t>
        </is>
      </c>
      <c r="D658" s="13" t="inlineStr">
        <is>
          <t>△</t>
        </is>
      </c>
      <c r="E658" s="16" t="inlineStr">
        <is>
          <t>公式</t>
        </is>
      </c>
      <c r="F658" s="17" t="inlineStr">
        <is>
          <t>https://www.doorkeeper.jp/pricing</t>
        </is>
      </c>
      <c r="G658" s="16" t="inlineStr">
        <is>
          <t>初めてのイベントは無料で、2回目から有料プラン(月額1,650円〜)が必要。無料・会場払い・銀行振込チケットの手数料は0円。前払いは99円+2.5%(+Stripe)</t>
        </is>
      </c>
    </row>
    <row r="659">
      <c r="A659" s="16" t="inlineStr">
        <is>
          <t>Doorkeeper</t>
        </is>
      </c>
      <c r="B659" s="16" t="inlineStr">
        <is>
          <t>AC02</t>
        </is>
      </c>
      <c r="C659" s="16" t="inlineStr">
        <is>
          <t>手数料負担の選択</t>
        </is>
      </c>
      <c r="D659" s="13" t="inlineStr">
        <is>
          <t>？</t>
        </is>
      </c>
      <c r="E659" s="16" t="inlineStr">
        <is>
          <t>なし</t>
        </is>
      </c>
      <c r="F659" s="16" t="inlineStr"/>
      <c r="G659" s="16" t="inlineStr">
        <is>
          <t>前払い手数料の負担者を選ぶ機能は確認できず(料金ページの例は主催者受取額から控除)</t>
        </is>
      </c>
    </row>
    <row r="660">
      <c r="A660" s="16" t="inlineStr">
        <is>
          <t>Doorkeeper</t>
        </is>
      </c>
      <c r="B660" s="16" t="inlineStr">
        <is>
          <t>AC03</t>
        </is>
      </c>
      <c r="C660" s="16" t="inlineStr">
        <is>
          <t>参加者データの所有・出力</t>
        </is>
      </c>
      <c r="D660" s="13" t="inlineStr">
        <is>
          <t>✅</t>
        </is>
      </c>
      <c r="E660" s="16" t="inlineStr">
        <is>
          <t>公式</t>
        </is>
      </c>
      <c r="F660" s="17" t="inlineStr">
        <is>
          <t>https://www.doorkeeper.jp/features</t>
        </is>
      </c>
      <c r="G660" s="16" t="inlineStr">
        <is>
          <t>メンバーのデータにアクセスし、分析用や他ソフト用に出力できると記載。メンバー/参加者のExcelエクスポートは管理者が実行(ヘルプは2020-03更新)。メール項目の有無は未確認</t>
        </is>
      </c>
    </row>
    <row r="661">
      <c r="A661" s="16" t="inlineStr">
        <is>
          <t>Doorkeeper</t>
        </is>
      </c>
      <c r="B661" s="16" t="inlineStr">
        <is>
          <t>AC04</t>
        </is>
      </c>
      <c r="C661" s="16" t="inlineStr">
        <is>
          <t>他サービスからの移行</t>
        </is>
      </c>
      <c r="D661" s="13" t="inlineStr">
        <is>
          <t>△</t>
        </is>
      </c>
      <c r="E661" s="16" t="inlineStr">
        <is>
          <t>二次</t>
        </is>
      </c>
      <c r="F661" s="17" t="inlineStr">
        <is>
          <t>https://internet.watch.impress.co.jp/docs/yajiuma/1229961.html</t>
        </is>
      </c>
      <c r="G661" s="16" t="inlineStr">
        <is>
          <t>2020-01のATND閉鎖時に、ATND公開者へ1年無料キャンペーンを実施(二次: Impress Internet Watch、申込締切4/14)。データ移行ツールは確認できず(Peatixは移行サービスあり)。グロース根拠は効果数値なし</t>
        </is>
      </c>
    </row>
    <row r="662">
      <c r="A662" s="16" t="inlineStr">
        <is>
          <t>Doorkeeper</t>
        </is>
      </c>
      <c r="B662" s="16" t="inlineStr">
        <is>
          <t>AC05</t>
        </is>
      </c>
      <c r="C662" s="16" t="inlineStr">
        <is>
          <t>主催者紹介・アンバサダー</t>
        </is>
      </c>
      <c r="D662" s="13" t="inlineStr">
        <is>
          <t>？</t>
        </is>
      </c>
      <c r="E662" s="16" t="inlineStr">
        <is>
          <t>なし</t>
        </is>
      </c>
      <c r="F662" s="16" t="inlineStr"/>
      <c r="G662" s="16" t="inlineStr">
        <is>
          <t>主催者紹介報酬・アンバサダー制度は確認できず</t>
        </is>
      </c>
    </row>
    <row r="663">
      <c r="A663" s="16" t="inlineStr">
        <is>
          <t>Doorkeeper</t>
        </is>
      </c>
      <c r="B663" s="16" t="inlineStr">
        <is>
          <t>AC06</t>
        </is>
      </c>
      <c r="C663" s="16" t="inlineStr">
        <is>
          <t>主催者向け教育・テンプレ</t>
        </is>
      </c>
      <c r="D663" s="13" t="inlineStr">
        <is>
          <t>✅</t>
        </is>
      </c>
      <c r="E663" s="16" t="inlineStr">
        <is>
          <t>公式</t>
        </is>
      </c>
      <c r="F663" s="17" t="inlineStr">
        <is>
          <t>https://www.doorkeeper.jp/organizer-stories</t>
        </is>
      </c>
      <c r="G663" s="16" t="inlineStr">
        <is>
          <t>主催者ストーリー14本、イベント企画ガイド(運営ノウハウ記事4本)、ブログ、勉強会会場の一覧がある</t>
        </is>
      </c>
    </row>
    <row r="664">
      <c r="A664" s="16" t="inlineStr">
        <is>
          <t>Doorkeeper</t>
        </is>
      </c>
      <c r="B664" s="16" t="inlineStr">
        <is>
          <t>AC07</t>
        </is>
      </c>
      <c r="C664" s="16" t="inlineStr">
        <is>
          <t>集客支援の商品</t>
        </is>
      </c>
      <c r="D664" s="13" t="inlineStr">
        <is>
          <t>△</t>
        </is>
      </c>
      <c r="E664" s="16" t="inlineStr">
        <is>
          <t>公式</t>
        </is>
      </c>
      <c r="F664" s="17" t="inlineStr">
        <is>
          <t>https://support.doorkeeper.jp/article/34-promotion</t>
        </is>
      </c>
      <c r="G664" s="16" t="inlineStr">
        <is>
          <t>Doorkeeperのプロモーション(審査制で一覧・おすすめ・ニュースレター・外部サイト・Xボットに掲載)を集客サポートとして案内。有料の広告・ブーストは確認できず。2016年に企業スポンサー仲介は見送り</t>
        </is>
      </c>
    </row>
    <row r="665">
      <c r="A665" s="16" t="inlineStr">
        <is>
          <t>Doorkeeper</t>
        </is>
      </c>
      <c r="B665" s="16" t="inlineStr">
        <is>
          <t>AC08</t>
        </is>
      </c>
      <c r="C665" s="16" t="inlineStr">
        <is>
          <t>運営主催・公式イベント</t>
        </is>
      </c>
      <c r="D665" s="13" t="inlineStr">
        <is>
          <t>？</t>
        </is>
      </c>
      <c r="E665" s="16" t="inlineStr">
        <is>
          <t>なし</t>
        </is>
      </c>
      <c r="F665" s="16" t="inlineStr"/>
      <c r="G665" s="16" t="inlineStr">
        <is>
          <t>運営主催のイベントは公式で確認できず(既存調査にミートアップ(2014)の記述があるが未確認)</t>
        </is>
      </c>
    </row>
    <row r="666">
      <c r="A666" s="16" t="inlineStr">
        <is>
          <t>Doorkeeper</t>
        </is>
      </c>
      <c r="B666" s="16" t="inlineStr">
        <is>
          <t>CR01</t>
        </is>
      </c>
      <c r="C666" s="16" t="inlineStr">
        <is>
          <t>ダイジェスト・おすすめ通知</t>
        </is>
      </c>
      <c r="D666" s="13" t="inlineStr">
        <is>
          <t>△</t>
        </is>
      </c>
      <c r="E666" s="16" t="inlineStr">
        <is>
          <t>公式</t>
        </is>
      </c>
      <c r="F666" s="17" t="inlineStr">
        <is>
          <t>https://support.doorkeeper.jp/article/34-promotion</t>
        </is>
      </c>
      <c r="G666" s="16" t="inlineStr">
        <is>
          <t>ログインページとニュースレターでおすすめイベントを紹介(頻度・現行運用は未確認)。コミュニティのメンバーへは新着開催を自動通知(機能紹介)</t>
        </is>
      </c>
    </row>
    <row r="667">
      <c r="A667" s="16" t="inlineStr">
        <is>
          <t>Doorkeeper</t>
        </is>
      </c>
      <c r="B667" s="16" t="inlineStr">
        <is>
          <t>CR02</t>
        </is>
      </c>
      <c r="C667" s="16" t="inlineStr">
        <is>
          <t>自動メンバー化</t>
        </is>
      </c>
      <c r="D667" s="13" t="inlineStr">
        <is>
          <t>✅</t>
        </is>
      </c>
      <c r="E667" s="16" t="inlineStr">
        <is>
          <t>公式</t>
        </is>
      </c>
      <c r="F667" s="17" t="inlineStr">
        <is>
          <t>https://www.doorkeeper.jp/how-it-works</t>
        </is>
      </c>
      <c r="G667" s="16" t="inlineStr">
        <is>
          <t>申込者は自動でコミュニティのメンバーになり、終了後も参加でき、次回以降の告知に使える。2016-08の公式報告は、終了イベントを見た人がコミュニティに参加し次の案内を受けることでメンバーが継続的に増えると説明。グロース根拠あり(創業期から効いたチャネル、既存調査)で、参加率・リピート率の数値は非公開</t>
        </is>
      </c>
    </row>
    <row r="668">
      <c r="A668" s="16" t="inlineStr">
        <is>
          <t>Doorkeeper</t>
        </is>
      </c>
      <c r="B668" s="16" t="inlineStr">
        <is>
          <t>CR03</t>
        </is>
      </c>
      <c r="C668" s="16" t="inlineStr">
        <is>
          <t>前回参加者への優先案内</t>
        </is>
      </c>
      <c r="D668" s="13" t="inlineStr">
        <is>
          <t>？</t>
        </is>
      </c>
      <c r="E668" s="16" t="inlineStr">
        <is>
          <t>なし</t>
        </is>
      </c>
      <c r="F668" s="16" t="inlineStr"/>
      <c r="G668" s="16" t="inlineStr">
        <is>
          <t>過去参加者への先行・優先案内の機能は確認できず(メンバーへのメッセージ送信のみ)</t>
        </is>
      </c>
    </row>
    <row r="669">
      <c r="A669" s="16" t="inlineStr">
        <is>
          <t>Doorkeeper</t>
        </is>
      </c>
      <c r="B669" s="16" t="inlineStr">
        <is>
          <t>CR04</t>
        </is>
      </c>
      <c r="C669" s="16" t="inlineStr">
        <is>
          <t>主催者CRM・購読者リスト</t>
        </is>
      </c>
      <c r="D669" s="13" t="inlineStr">
        <is>
          <t>✅</t>
        </is>
      </c>
      <c r="E669" s="16" t="inlineStr">
        <is>
          <t>公式</t>
        </is>
      </c>
      <c r="F669" s="17" t="inlineStr">
        <is>
          <t>https://support.doorkeeper.jp/article/31-messages</t>
        </is>
      </c>
      <c r="G669" s="16" t="inlineStr">
        <is>
          <t>メンバー管理に加え、メールを宛先区分でセグメント送信し開封率を確認できる。定額課金メンバー宛メッセージ(2023-02)、メンバー登録時の質問もある</t>
        </is>
      </c>
    </row>
    <row r="670">
      <c r="A670" s="16" t="inlineStr">
        <is>
          <t>Doorkeeper</t>
        </is>
      </c>
      <c r="B670" s="16" t="inlineStr">
        <is>
          <t>CR05</t>
        </is>
      </c>
      <c r="C670" s="16" t="inlineStr">
        <is>
          <t>参加履歴・バッジ・実績</t>
        </is>
      </c>
      <c r="D670" s="13" t="inlineStr">
        <is>
          <t>？</t>
        </is>
      </c>
      <c r="E670" s="16" t="inlineStr">
        <is>
          <t>なし</t>
        </is>
      </c>
      <c r="F670" s="16" t="inlineStr"/>
      <c r="G670" s="16" t="inlineStr">
        <is>
          <t>参加回数・バッジ・実績の表示は確認できず</t>
        </is>
      </c>
    </row>
    <row r="671">
      <c r="A671" s="16" t="inlineStr">
        <is>
          <t>Doorkeeper</t>
        </is>
      </c>
      <c r="B671" s="16" t="inlineStr">
        <is>
          <t>CR06</t>
        </is>
      </c>
      <c r="C671" s="16" t="inlineStr">
        <is>
          <t>レビュー・評価</t>
        </is>
      </c>
      <c r="D671" s="13" t="inlineStr">
        <is>
          <t>？</t>
        </is>
      </c>
      <c r="E671" s="16" t="inlineStr">
        <is>
          <t>なし</t>
        </is>
      </c>
      <c r="F671" s="16" t="inlineStr"/>
      <c r="G671" s="16" t="inlineStr">
        <is>
          <t>主催者・参加者へのレビュー/評価機能は確認できず</t>
        </is>
      </c>
    </row>
    <row r="672">
      <c r="A672" s="16" t="inlineStr">
        <is>
          <t>Doorkeeper</t>
        </is>
      </c>
      <c r="B672" s="16" t="inlineStr">
        <is>
          <t>CR07</t>
        </is>
      </c>
      <c r="C672" s="16" t="inlineStr">
        <is>
          <t>グループチャット・掲示板</t>
        </is>
      </c>
      <c r="D672" s="13" t="inlineStr">
        <is>
          <t>✅</t>
        </is>
      </c>
      <c r="E672" s="16" t="inlineStr">
        <is>
          <t>公式</t>
        </is>
      </c>
      <c r="F672" s="17" t="inlineStr">
        <is>
          <t>https://www.doorkeeper.jp/features</t>
        </is>
      </c>
      <c r="G672" s="16" t="inlineStr">
        <is>
          <t>イベントのコメント機能(開催前後、新着は参加者に通知)がある。チャット機能は確認できず</t>
        </is>
      </c>
    </row>
    <row r="673">
      <c r="A673" s="16" t="inlineStr">
        <is>
          <t>Doorkeeper</t>
        </is>
      </c>
      <c r="B673" s="16" t="inlineStr">
        <is>
          <t>CR08</t>
        </is>
      </c>
      <c r="C673" s="16" t="inlineStr">
        <is>
          <t>年間まとめ・振り返り共有</t>
        </is>
      </c>
      <c r="D673" s="13" t="inlineStr">
        <is>
          <t>？</t>
        </is>
      </c>
      <c r="E673" s="16" t="inlineStr">
        <is>
          <t>なし</t>
        </is>
      </c>
      <c r="F673" s="16" t="inlineStr"/>
      <c r="G673" s="16" t="inlineStr">
        <is>
          <t>年間まとめ・振り返りの共有機能は確認できず</t>
        </is>
      </c>
    </row>
    <row r="674">
      <c r="A674" s="16" t="inlineStr">
        <is>
          <t>Doorkeeper</t>
        </is>
      </c>
      <c r="B674" s="16" t="inlineStr">
        <is>
          <t>TS01</t>
        </is>
      </c>
      <c r="C674" s="16" t="inlineStr">
        <is>
          <t>本人確認・認証</t>
        </is>
      </c>
      <c r="D674" s="13" t="inlineStr">
        <is>
          <t>？</t>
        </is>
      </c>
      <c r="E674" s="16" t="inlineStr">
        <is>
          <t>なし</t>
        </is>
      </c>
      <c r="F674" s="16" t="inlineStr"/>
      <c r="G674" s="16" t="inlineStr">
        <is>
          <t>利用者の本人確認は確認できず(前払い開催にはStripeアカウントと販売事業者情報が必要だが、確認主体はStripe)</t>
        </is>
      </c>
    </row>
    <row r="675">
      <c r="A675" s="16" t="inlineStr">
        <is>
          <t>Doorkeeper</t>
        </is>
      </c>
      <c r="B675" s="16" t="inlineStr">
        <is>
          <t>TS02</t>
        </is>
      </c>
      <c r="C675" s="16" t="inlineStr">
        <is>
          <t>主催者の審査・認定</t>
        </is>
      </c>
      <c r="D675" s="13" t="inlineStr">
        <is>
          <t>△</t>
        </is>
      </c>
      <c r="E675" s="16" t="inlineStr">
        <is>
          <t>公式</t>
        </is>
      </c>
      <c r="F675" s="17" t="inlineStr">
        <is>
          <t>https://support.doorkeeper.jp/article/34-promotion</t>
        </is>
      </c>
      <c r="G675" s="16" t="inlineStr">
        <is>
          <t>プロモーション(おすすめ・一覧掲載)の対象は、Doorkeeperの審査で承認されたコミュニティのみ</t>
        </is>
      </c>
    </row>
    <row r="676">
      <c r="A676" s="16" t="inlineStr">
        <is>
          <t>Doorkeeper</t>
        </is>
      </c>
      <c r="B676" s="16" t="inlineStr">
        <is>
          <t>TS03</t>
        </is>
      </c>
      <c r="C676" s="16" t="inlineStr">
        <is>
          <t>通報・ブロック・モデレーション</t>
        </is>
      </c>
      <c r="D676" s="13" t="inlineStr">
        <is>
          <t>△</t>
        </is>
      </c>
      <c r="E676" s="16" t="inlineStr">
        <is>
          <t>公式</t>
        </is>
      </c>
      <c r="F676" s="17" t="inlineStr">
        <is>
          <t>https://www.doorkeeper.jp/report_copyright_infringment</t>
        </is>
      </c>
      <c r="G676" s="16" t="inlineStr">
        <is>
          <t>著作権侵害の報告窓口(メール)のみ確認。一般的な通報・ブロック機能は確認できず</t>
        </is>
      </c>
    </row>
    <row r="677">
      <c r="A677" s="16" t="inlineStr">
        <is>
          <t>Doorkeeper</t>
        </is>
      </c>
      <c r="B677" s="16" t="inlineStr">
        <is>
          <t>TS04</t>
        </is>
      </c>
      <c r="C677" s="16" t="inlineStr">
        <is>
          <t>ドタキャン対策</t>
        </is>
      </c>
      <c r="D677" s="13" t="inlineStr">
        <is>
          <t>✅</t>
        </is>
      </c>
      <c r="E677" s="16" t="inlineStr">
        <is>
          <t>公式</t>
        </is>
      </c>
      <c r="F677" s="17" t="inlineStr">
        <is>
          <t>https://support.doorkeeper.jp/article/86-article</t>
        </is>
      </c>
      <c r="G677" s="16" t="inlineStr">
        <is>
          <t>前払い(Stripe)を、無料イベントの出席率(40〜60%)を上げる手段として公式が案内。前払いにすると実際に参加する人だけが申し込む。欠席料・デポジットは確認できず</t>
        </is>
      </c>
    </row>
    <row r="678">
      <c r="A678" s="16" t="inlineStr">
        <is>
          <t>Doorkeeper</t>
        </is>
      </c>
      <c r="B678" s="16" t="inlineStr">
        <is>
          <t>TS05</t>
        </is>
      </c>
      <c r="C678" s="16" t="inlineStr">
        <is>
          <t>参加者情報の保護</t>
        </is>
      </c>
      <c r="D678" s="13" t="inlineStr">
        <is>
          <t>✅</t>
        </is>
      </c>
      <c r="E678" s="16" t="inlineStr">
        <is>
          <t>公式</t>
        </is>
      </c>
      <c r="F678" s="17" t="inlineStr">
        <is>
          <t>https://support.doorkeeper.jp/article/67-hide-participation</t>
        </is>
      </c>
      <c r="G678" s="16" t="inlineStr">
        <is>
          <t>参加者一覧のアカウント公開は申込時のチェックで非表示にでき、コミュニティのメンバー公開もプライバシー設定で変えられる。主催者設定で一覧を出さないイベントもある</t>
        </is>
      </c>
    </row>
    <row r="679">
      <c r="A679" s="16" t="inlineStr">
        <is>
          <t>Doorkeeper</t>
        </is>
      </c>
      <c r="B679" s="16" t="inlineStr">
        <is>
          <t>TS06</t>
        </is>
      </c>
      <c r="C679" s="16" t="inlineStr">
        <is>
          <t>直接取引の抑止</t>
        </is>
      </c>
      <c r="D679" s="13" t="inlineStr">
        <is>
          <t>？</t>
        </is>
      </c>
      <c r="E679" s="16" t="inlineStr">
        <is>
          <t>なし</t>
        </is>
      </c>
      <c r="F679" s="16" t="inlineStr"/>
      <c r="G679" s="16" t="inlineStr">
        <is>
          <t>プラットフォーム外取引を抑える規約・仕組みは確認できず(利用規約は未読)</t>
        </is>
      </c>
    </row>
    <row r="680">
      <c r="A680" s="16" t="inlineStr">
        <is>
          <t>Doorkeeper</t>
        </is>
      </c>
      <c r="B680" s="16" t="inlineStr">
        <is>
          <t>FD01</t>
        </is>
      </c>
      <c r="C680" s="16" t="inlineStr">
        <is>
          <t>メニューの事前注文・選択</t>
        </is>
      </c>
      <c r="D680" s="13" t="inlineStr">
        <is>
          <t>△</t>
        </is>
      </c>
      <c r="E680" s="16" t="inlineStr">
        <is>
          <t>公式</t>
        </is>
      </c>
      <c r="F680" s="17" t="inlineStr">
        <is>
          <t>https://www.doorkeeper.jp/features</t>
        </is>
      </c>
      <c r="G680" s="16" t="inlineStr">
        <is>
          <t>料理選択の専用機能はない。複数チケット種別とカスタム申込フォームで代用できる</t>
        </is>
      </c>
    </row>
    <row r="681">
      <c r="A681" s="16" t="inlineStr">
        <is>
          <t>Doorkeeper</t>
        </is>
      </c>
      <c r="B681" s="16" t="inlineStr">
        <is>
          <t>FD02</t>
        </is>
      </c>
      <c r="C681" s="16" t="inlineStr">
        <is>
          <t>アレルギー・食の好みの登録</t>
        </is>
      </c>
      <c r="D681" s="13" t="inlineStr">
        <is>
          <t>△</t>
        </is>
      </c>
      <c r="E681" s="16" t="inlineStr">
        <is>
          <t>公式</t>
        </is>
      </c>
      <c r="F681" s="17" t="inlineStr">
        <is>
          <t>https://www.doorkeeper.jp/how-it-works</t>
        </is>
      </c>
      <c r="G681" s="16" t="inlineStr">
        <is>
          <t>アレルギー登録の専用機能は確認できず。カスタム申込フォームで質問して収集できる</t>
        </is>
      </c>
    </row>
    <row r="682">
      <c r="A682" s="16" t="inlineStr">
        <is>
          <t>Doorkeeper</t>
        </is>
      </c>
      <c r="B682" s="16" t="inlineStr">
        <is>
          <t>FD03</t>
        </is>
      </c>
      <c r="C682" s="16" t="inlineStr">
        <is>
          <t>店舗向け管理画面</t>
        </is>
      </c>
      <c r="D682" s="13" t="inlineStr">
        <is>
          <t>？</t>
        </is>
      </c>
      <c r="E682" s="16" t="inlineStr">
        <is>
          <t>なし</t>
        </is>
      </c>
      <c r="F682" s="16" t="inlineStr"/>
      <c r="G682" s="16" t="inlineStr">
        <is>
          <t>店舗向けの管理画面は確認できず(コミュニティ管理画面のみ)</t>
        </is>
      </c>
    </row>
    <row r="683">
      <c r="A683" s="16" t="inlineStr">
        <is>
          <t>Doorkeeper</t>
        </is>
      </c>
      <c r="B683" s="16" t="inlineStr">
        <is>
          <t>FD04</t>
        </is>
      </c>
      <c r="C683" s="16" t="inlineStr">
        <is>
          <t>人数確定の店舗通知・集計</t>
        </is>
      </c>
      <c r="D683" s="13" t="inlineStr">
        <is>
          <t>？</t>
        </is>
      </c>
      <c r="E683" s="16" t="inlineStr">
        <is>
          <t>なし</t>
        </is>
      </c>
      <c r="F683" s="16" t="inlineStr"/>
      <c r="G683" s="16" t="inlineStr">
        <is>
          <t>人数・注文を店舗へ自動通知し集計する機能は確認できず</t>
        </is>
      </c>
    </row>
    <row r="684">
      <c r="A684" s="16" t="inlineStr">
        <is>
          <t>Doorkeeper</t>
        </is>
      </c>
      <c r="B684" s="16" t="inlineStr">
        <is>
          <t>FD05</t>
        </is>
      </c>
      <c r="C684" s="16" t="inlineStr">
        <is>
          <t>席の確保・貸切の連携</t>
        </is>
      </c>
      <c r="D684" s="13" t="inlineStr">
        <is>
          <t>？</t>
        </is>
      </c>
      <c r="E684" s="16" t="inlineStr">
        <is>
          <t>なし</t>
        </is>
      </c>
      <c r="F684" s="16" t="inlineStr"/>
      <c r="G684" s="16" t="inlineStr">
        <is>
          <t>店舗の席・貸切の確保と連動する機能は確認できず</t>
        </is>
      </c>
    </row>
    <row r="685">
      <c r="A685" s="16" t="inlineStr">
        <is>
          <t>Doorkeeper</t>
        </is>
      </c>
      <c r="B685" s="16" t="inlineStr">
        <is>
          <t>FD06</t>
        </is>
      </c>
      <c r="C685" s="16" t="inlineStr">
        <is>
          <t>コース・固定メニュー</t>
        </is>
      </c>
      <c r="D685" s="13" t="inlineStr">
        <is>
          <t>△</t>
        </is>
      </c>
      <c r="E685" s="16" t="inlineStr">
        <is>
          <t>公式</t>
        </is>
      </c>
      <c r="F685" s="17" t="inlineStr">
        <is>
          <t>https://www.doorkeeper.jp/features</t>
        </is>
      </c>
      <c r="G685" s="16" t="inlineStr">
        <is>
          <t>チケット種別をコースに見立てて複数作成できる(早期割引・学生向けなど)。コース選択の専用機能は確認できず</t>
        </is>
      </c>
    </row>
    <row r="686">
      <c r="A686" s="16" t="inlineStr">
        <is>
          <t>Doorkeeper</t>
        </is>
      </c>
      <c r="B686" s="16" t="inlineStr">
        <is>
          <t>FD07</t>
        </is>
      </c>
      <c r="C686" s="16" t="inlineStr">
        <is>
          <t>割り勘・個別会計</t>
        </is>
      </c>
      <c r="D686" s="13" t="inlineStr">
        <is>
          <t>？</t>
        </is>
      </c>
      <c r="E686" s="16" t="inlineStr">
        <is>
          <t>なし</t>
        </is>
      </c>
      <c r="F686" s="16" t="inlineStr"/>
      <c r="G686" s="16" t="inlineStr">
        <is>
          <t>割り勘・個別会計の機能は確認できず(会場払いチケットで当日現地払いにできるのみ)</t>
        </is>
      </c>
    </row>
    <row r="687">
      <c r="A687" s="16" t="inlineStr">
        <is>
          <t>Doorkeeper</t>
        </is>
      </c>
      <c r="B687" s="16" t="inlineStr">
        <is>
          <t>FD08</t>
        </is>
      </c>
      <c r="C687" s="16" t="inlineStr">
        <is>
          <t>店探し・店選び支援</t>
        </is>
      </c>
      <c r="D687" s="13" t="inlineStr">
        <is>
          <t>△</t>
        </is>
      </c>
      <c r="E687" s="16" t="inlineStr">
        <is>
          <t>公式</t>
        </is>
      </c>
      <c r="F687" s="17" t="inlineStr">
        <is>
          <t>https://www.doorkeeper.jp/%E4%BC%9A%E5%A0%B4</t>
        </is>
      </c>
      <c r="G687" s="16" t="inlineStr">
        <is>
          <t>勉強会向けの会場一覧(都道府県別、収容人数・料金・最寄駅付き)がある。飲食店の比較・選択支援ではない</t>
        </is>
      </c>
    </row>
    <row r="688">
      <c r="A688" s="16" t="inlineStr">
        <is>
          <t>Doorkeeper</t>
        </is>
      </c>
      <c r="B688" s="16" t="inlineStr">
        <is>
          <t>FD09</t>
        </is>
      </c>
      <c r="C688" s="16" t="inlineStr">
        <is>
          <t>売り切れ・限定数の管理</t>
        </is>
      </c>
      <c r="D688" s="13" t="inlineStr">
        <is>
          <t>△</t>
        </is>
      </c>
      <c r="E688" s="16" t="inlineStr">
        <is>
          <t>公式</t>
        </is>
      </c>
      <c r="F688" s="17" t="inlineStr">
        <is>
          <t>https://support.doorkeeper.jp/article/29-event-flow</t>
        </is>
      </c>
      <c r="G688" s="16" t="inlineStr">
        <is>
          <t>チケットごとに定員(限定数)を設定できる。メニュー単位の在庫管理は確認できず</t>
        </is>
      </c>
    </row>
    <row r="689">
      <c r="A689" s="16" t="inlineStr">
        <is>
          <t>Doorkeeper</t>
        </is>
      </c>
      <c r="B689" s="16" t="inlineStr">
        <is>
          <t>FD10</t>
        </is>
      </c>
      <c r="C689" s="16" t="inlineStr">
        <is>
          <t>提供形態の選択</t>
        </is>
      </c>
      <c r="D689" s="13" t="inlineStr">
        <is>
          <t>？</t>
        </is>
      </c>
      <c r="E689" s="16" t="inlineStr">
        <is>
          <t>なし</t>
        </is>
      </c>
      <c r="F689" s="16" t="inlineStr"/>
      <c r="G689" s="16" t="inlineStr">
        <is>
          <t>イートイン/テイクアウト/デリバリー等の提供形態の選択は確認できず</t>
        </is>
      </c>
    </row>
    <row r="690">
      <c r="A690" s="16" t="inlineStr">
        <is>
          <t>Doorkeeper</t>
        </is>
      </c>
      <c r="B690" s="16" t="inlineStr">
        <is>
          <t>MN01</t>
        </is>
      </c>
      <c r="C690" s="16" t="inlineStr">
        <is>
          <t>手数料の明示</t>
        </is>
      </c>
      <c r="D690" s="13" t="inlineStr">
        <is>
          <t>✅</t>
        </is>
      </c>
      <c r="E690" s="16" t="inlineStr">
        <is>
          <t>公式</t>
        </is>
      </c>
      <c r="F690" s="17" t="inlineStr">
        <is>
          <t>https://www.doorkeeper.jp/pricing</t>
        </is>
      </c>
      <c r="G690" s="16" t="inlineStr">
        <is>
          <t>月額4プラン(1,650/4,400/8,800/17,600円、税込)+前払いチケット99円+2.5%+Stripe3.60%を公開し、5,000円の例で受取額4,596円と表示</t>
        </is>
      </c>
    </row>
    <row r="691">
      <c r="A691" s="16" t="inlineStr">
        <is>
          <t>Doorkeeper</t>
        </is>
      </c>
      <c r="B691" s="16" t="inlineStr">
        <is>
          <t>MN02</t>
        </is>
      </c>
      <c r="C691" s="16" t="inlineStr">
        <is>
          <t>主催者向け有料プラン</t>
        </is>
      </c>
      <c r="D691" s="13" t="inlineStr">
        <is>
          <t>✅</t>
        </is>
      </c>
      <c r="E691" s="16" t="inlineStr">
        <is>
          <t>公式</t>
        </is>
      </c>
      <c r="F691" s="17" t="inlineStr">
        <is>
          <t>https://www.doorkeeper.jp/pricing</t>
        </is>
      </c>
      <c r="G691" s="16" t="inlineStr">
        <is>
          <t>スターター〜ビジネスの月額プラン(開催予定イベント上限5/15/50/200件)がある。初回イベントは無料。2016-07の有料化(当時月額1,500〜16,000円)で2016-08に初の黒字化(契約数は非公表、グロース根拠あり)</t>
        </is>
      </c>
    </row>
    <row r="692">
      <c r="A692" s="16" t="inlineStr">
        <is>
          <t>Doorkeeper</t>
        </is>
      </c>
      <c r="B692" s="16" t="inlineStr">
        <is>
          <t>MN03</t>
        </is>
      </c>
      <c r="C692" s="16" t="inlineStr">
        <is>
          <t>任意チップ・寄付</t>
        </is>
      </c>
      <c r="D692" s="13" t="inlineStr">
        <is>
          <t>△</t>
        </is>
      </c>
      <c r="E692" s="16" t="inlineStr">
        <is>
          <t>公式</t>
        </is>
      </c>
      <c r="F692" s="17" t="inlineStr">
        <is>
          <t>https://www.doorkeeper.jp/news/2023/1/18/patron-feature</t>
        </is>
      </c>
      <c r="G692" s="16" t="inlineStr">
        <is>
          <t>定額課金の『投げ銭課金』(単発)をランクとして設定できる。Doorkeeper手数料0%+Stripe3.60%で全プランで利用可(2023-01)。参加者が任意額を上乗せする型ではない</t>
        </is>
      </c>
    </row>
    <row r="693">
      <c r="A693" s="16" t="inlineStr">
        <is>
          <t>Doorkeeper</t>
        </is>
      </c>
      <c r="B693" s="16" t="inlineStr">
        <is>
          <t>MN04</t>
        </is>
      </c>
      <c r="C693" s="16" t="inlineStr">
        <is>
          <t>クーポン・割引コード</t>
        </is>
      </c>
      <c r="D693" s="13" t="inlineStr">
        <is>
          <t>✅</t>
        </is>
      </c>
      <c r="E693" s="16" t="inlineStr">
        <is>
          <t>公式</t>
        </is>
      </c>
      <c r="F693" s="17" t="inlineStr">
        <is>
          <t>https://www.doorkeeper.jp/features</t>
        </is>
      </c>
      <c r="G693" s="16" t="inlineStr">
        <is>
          <t>割引コード(割引・無料招待)と複数チケット(早期割引・学生向けなど)を設定できる</t>
        </is>
      </c>
    </row>
    <row r="694">
      <c r="A694" s="16" t="inlineStr">
        <is>
          <t>Doorkeeper</t>
        </is>
      </c>
      <c r="B694" s="16" t="inlineStr">
        <is>
          <t>MN05</t>
        </is>
      </c>
      <c r="C694" s="16" t="inlineStr">
        <is>
          <t>ポイント・会員特典</t>
        </is>
      </c>
      <c r="D694" s="13" t="inlineStr">
        <is>
          <t>△</t>
        </is>
      </c>
      <c r="E694" s="16" t="inlineStr">
        <is>
          <t>公式</t>
        </is>
      </c>
      <c r="F694" s="17" t="inlineStr">
        <is>
          <t>https://www.doorkeeper.jp/news/2023/1/18/patron-feature</t>
        </is>
      </c>
      <c r="G694" s="16" t="inlineStr">
        <is>
          <t>定額課金(月額/年額)の会員ランクごとに、イベントや講座などの特典を設定できる。ポイント/ロイヤルティ制度は確認できず</t>
        </is>
      </c>
    </row>
    <row r="695">
      <c r="A695" s="16" t="inlineStr">
        <is>
          <t>connpass</t>
        </is>
      </c>
      <c r="B695" s="16" t="inlineStr">
        <is>
          <t>DS01</t>
        </is>
      </c>
      <c r="C695" s="16" t="inlineStr">
        <is>
          <t>キーワード・カテゴリ検索</t>
        </is>
      </c>
      <c r="D695" s="13" t="inlineStr">
        <is>
          <t>✅</t>
        </is>
      </c>
      <c r="E695" s="16" t="inlineStr">
        <is>
          <t>公式</t>
        </is>
      </c>
      <c r="F695" s="17" t="inlineStr">
        <is>
          <t>https://connpass.com/search/</t>
        </is>
      </c>
      <c r="G695" s="16" t="inlineStr">
        <is>
          <t>キーワード(自由入力)・開催日・開催場所(都道府県とオンライン)で検索できる。カテゴリ分類は確認できず</t>
        </is>
      </c>
    </row>
    <row r="696">
      <c r="A696" s="16" t="inlineStr">
        <is>
          <t>connpass</t>
        </is>
      </c>
      <c r="B696" s="16" t="inlineStr">
        <is>
          <t>DS02</t>
        </is>
      </c>
      <c r="C696" s="16" t="inlineStr">
        <is>
          <t>地域・地図検索</t>
        </is>
      </c>
      <c r="D696" s="13" t="inlineStr">
        <is>
          <t>△</t>
        </is>
      </c>
      <c r="E696" s="16" t="inlineStr">
        <is>
          <t>公式</t>
        </is>
      </c>
      <c r="F696" s="17" t="inlineStr">
        <is>
          <t>https://connpass.com/search/</t>
        </is>
      </c>
      <c r="G696" s="16" t="inlineStr">
        <is>
          <t>47都道府県とオンラインで絞り込み。駅・現在地・地図での検索は確認できず(会場はGoogleマップ表示のみ)</t>
        </is>
      </c>
    </row>
    <row r="697">
      <c r="A697" s="16" t="inlineStr">
        <is>
          <t>connpass</t>
        </is>
      </c>
      <c r="B697" s="16" t="inlineStr">
        <is>
          <t>DS03</t>
        </is>
      </c>
      <c r="C697" s="16" t="inlineStr">
        <is>
          <t>日付・価格等の絞り込み</t>
        </is>
      </c>
      <c r="D697" s="13" t="inlineStr">
        <is>
          <t>△</t>
        </is>
      </c>
      <c r="E697" s="16" t="inlineStr">
        <is>
          <t>公式</t>
        </is>
      </c>
      <c r="F697" s="17" t="inlineStr">
        <is>
          <t>https://connpass.com/search/</t>
        </is>
      </c>
      <c r="G697" s="16" t="inlineStr">
        <is>
          <t>開催期間(開始日〜終了日)と並び替え(開催日の昇順・降順・新着順)のみ。価格帯・曜日の絞り込みは確認できず</t>
        </is>
      </c>
    </row>
    <row r="698">
      <c r="A698" s="16" t="inlineStr">
        <is>
          <t>connpass</t>
        </is>
      </c>
      <c r="B698" s="16" t="inlineStr">
        <is>
          <t>DS04</t>
        </is>
      </c>
      <c r="C698" s="16" t="inlineStr">
        <is>
          <t>パーソナライズ推薦</t>
        </is>
      </c>
      <c r="D698" s="13" t="inlineStr">
        <is>
          <t>△</t>
        </is>
      </c>
      <c r="E698" s="16" t="inlineStr">
        <is>
          <t>公式</t>
        </is>
      </c>
      <c r="F698" s="17" t="inlineStr">
        <is>
          <t>https://help.connpass.com/participants/search-for-events</t>
        </is>
      </c>
      <c r="G698" s="16" t="inlineStr">
        <is>
          <t>ホームのおすすめは自分やフォロー先(Facebook・GitHubの友人)が開催・参加・ブックマークしたイベント基準。閲覧履歴ベースの推薦は確認できず</t>
        </is>
      </c>
    </row>
    <row r="699">
      <c r="A699" s="16" t="inlineStr">
        <is>
          <t>connpass</t>
        </is>
      </c>
      <c r="B699" s="16" t="inlineStr">
        <is>
          <t>DS05</t>
        </is>
      </c>
      <c r="C699" s="16" t="inlineStr">
        <is>
          <t>フォロー</t>
        </is>
      </c>
      <c r="D699" s="13" t="inlineStr">
        <is>
          <t>✅</t>
        </is>
      </c>
      <c r="E699" s="16" t="inlineStr">
        <is>
          <t>公式</t>
        </is>
      </c>
      <c r="F699" s="17" t="inlineStr">
        <is>
          <t>https://help.connpass.com/participants/group</t>
        </is>
      </c>
      <c r="G699" s="16" t="inlineStr">
        <is>
          <t>グループの『メンバーになる』で新規イベントの通知を受け取る(関連イベントに参加すると自動でメンバー化)。ユーザーのフォローはFacebook・GitHub連携由来で手動操作不可。グロース根拠あり(グループ通知)</t>
        </is>
      </c>
    </row>
    <row r="700">
      <c r="A700" s="16" t="inlineStr">
        <is>
          <t>connpass</t>
        </is>
      </c>
      <c r="B700" s="16" t="inlineStr">
        <is>
          <t>DS06</t>
        </is>
      </c>
      <c r="C700" s="16" t="inlineStr">
        <is>
          <t>ブックマーク・ウィッシュリスト</t>
        </is>
      </c>
      <c r="D700" s="13" t="inlineStr">
        <is>
          <t>✅</t>
        </is>
      </c>
      <c r="E700" s="16" t="inlineStr">
        <is>
          <t>公式</t>
        </is>
      </c>
      <c r="F700" s="17" t="inlineStr">
        <is>
          <t>https://help.connpass.com/participants/bookmark</t>
        </is>
      </c>
      <c r="G700" s="16" t="inlineStr">
        <is>
          <t>ブックマークでき、ホームとプロフィールに一覧表示される。他ユーザーにも公開される</t>
        </is>
      </c>
    </row>
    <row r="701">
      <c r="A701" s="16" t="inlineStr">
        <is>
          <t>connpass</t>
        </is>
      </c>
      <c r="B701" s="16" t="inlineStr">
        <is>
          <t>DS07</t>
        </is>
      </c>
      <c r="C701" s="16" t="inlineStr">
        <is>
          <t>公開ディレクトリ・都市×カテゴリページ</t>
        </is>
      </c>
      <c r="D701" s="13" t="inlineStr">
        <is>
          <t>△</t>
        </is>
      </c>
      <c r="E701" s="16" t="inlineStr">
        <is>
          <t>公式</t>
        </is>
      </c>
      <c r="F701" s="17" t="inlineStr">
        <is>
          <t>https://connpass.com/</t>
        </is>
      </c>
      <c r="G701" s="16" t="inlineStr">
        <is>
          <t>新着イベント・新着グループ・カレンダー・ランキング・カンファレンス特集(技術・テーマ別)の公開一覧がある。都市×カテゴリの専用ページは確認できず</t>
        </is>
      </c>
    </row>
    <row r="702">
      <c r="A702" s="16" t="inlineStr">
        <is>
          <t>connpass</t>
        </is>
      </c>
      <c r="B702" s="16" t="inlineStr">
        <is>
          <t>DS08</t>
        </is>
      </c>
      <c r="C702" s="16" t="inlineStr">
        <is>
          <t>キュレーション・特集</t>
        </is>
      </c>
      <c r="D702" s="13" t="inlineStr">
        <is>
          <t>✅</t>
        </is>
      </c>
      <c r="E702" s="16" t="inlineStr">
        <is>
          <t>公式</t>
        </is>
      </c>
      <c r="F702" s="17" t="inlineStr">
        <is>
          <t>https://help.connpass.com/topics/event-conference-topic</t>
        </is>
      </c>
      <c r="G702" s="16" t="inlineStr">
        <is>
          <t>カンファレンス特集(運営がグループと開催内容を確認して権限付与)、おすすめグループ、イベントランキングがある。FAQに『新着・検索は運営ピックアップのイベントのみ』との記載もあるが年不明で検索結果と食い違い</t>
        </is>
      </c>
    </row>
    <row r="703">
      <c r="A703" s="16" t="inlineStr">
        <is>
          <t>connpass</t>
        </is>
      </c>
      <c r="B703" s="16" t="inlineStr">
        <is>
          <t>JN01</t>
        </is>
      </c>
      <c r="C703" s="16" t="inlineStr">
        <is>
          <t>アカウント不要の申込</t>
        </is>
      </c>
      <c r="D703" s="13" t="inlineStr">
        <is>
          <t>❌</t>
        </is>
      </c>
      <c r="E703" s="16" t="inlineStr">
        <is>
          <t>公式</t>
        </is>
      </c>
      <c r="F703" s="17" t="inlineStr">
        <is>
          <t>https://help.connpass.com/participants/event-join</t>
        </is>
      </c>
      <c r="G703" s="16" t="inlineStr">
        <is>
          <t>申込にはメールアドレスの登録・確認済みのconnpassアカウントが必要。アカウント不要の申込は確認できず(主催者にメールアドレスは非公開)</t>
        </is>
      </c>
    </row>
    <row r="704">
      <c r="A704" s="16" t="inlineStr">
        <is>
          <t>connpass</t>
        </is>
      </c>
      <c r="B704" s="16" t="inlineStr">
        <is>
          <t>JN02</t>
        </is>
      </c>
      <c r="C704" s="16" t="inlineStr">
        <is>
          <t>簡易ログイン</t>
        </is>
      </c>
      <c r="D704" s="13" t="inlineStr">
        <is>
          <t>✅</t>
        </is>
      </c>
      <c r="E704" s="16" t="inlineStr">
        <is>
          <t>公式</t>
        </is>
      </c>
      <c r="F704" s="17" t="inlineStr">
        <is>
          <t>https://help.connpass.com/basic/setting_sns</t>
        </is>
      </c>
      <c r="G704" s="16" t="inlineStr">
        <is>
          <t>X・Facebook・GitHubのソーシャル認証でログインできる。2023-08から新規登録時のパスワード必須化</t>
        </is>
      </c>
    </row>
    <row r="705">
      <c r="A705" s="16" t="inlineStr">
        <is>
          <t>connpass</t>
        </is>
      </c>
      <c r="B705" s="16" t="inlineStr">
        <is>
          <t>JN03</t>
        </is>
      </c>
      <c r="C705" s="16" t="inlineStr">
        <is>
          <t>承認制・参加申請</t>
        </is>
      </c>
      <c r="D705" s="13" t="inlineStr">
        <is>
          <t>△</t>
        </is>
      </c>
      <c r="E705" s="16" t="inlineStr">
        <is>
          <t>公式</t>
        </is>
      </c>
      <c r="F705" s="17" t="inlineStr">
        <is>
          <t>https://help.connpass.com/organizers/event-lottery</t>
        </is>
      </c>
      <c r="G705" s="16" t="inlineStr">
        <is>
          <t>承認制は確認できず。参加枠ごとに先着か抽選・指名を選べ、主催者が指名した申込者を優先できる。管理者は募集期間中に強制キャンセル可</t>
        </is>
      </c>
    </row>
    <row r="706">
      <c r="A706" s="16" t="inlineStr">
        <is>
          <t>connpass</t>
        </is>
      </c>
      <c r="B706" s="16" t="inlineStr">
        <is>
          <t>JN04</t>
        </is>
      </c>
      <c r="C706" s="16" t="inlineStr">
        <is>
          <t>ウェイトリスト</t>
        </is>
      </c>
      <c r="D706" s="13" t="inlineStr">
        <is>
          <t>✅</t>
        </is>
      </c>
      <c r="E706" s="16" t="inlineStr">
        <is>
          <t>公式</t>
        </is>
      </c>
      <c r="F706" s="17" t="inlineStr">
        <is>
          <t>https://help.connpass.com/organizers/event-admin</t>
        </is>
      </c>
      <c r="G706" s="16" t="inlineStr">
        <is>
          <t>定員超過は補欠になり、キャンセル発生時に先着順で自動繰り上げ(メール通知)。有料(前払い)イベントには補欠申込がない</t>
        </is>
      </c>
    </row>
    <row r="707">
      <c r="A707" s="16" t="inlineStr">
        <is>
          <t>connpass</t>
        </is>
      </c>
      <c r="B707" s="16" t="inlineStr">
        <is>
          <t>JN05</t>
        </is>
      </c>
      <c r="C707" s="16" t="inlineStr">
        <is>
          <t>定員・残席の表示</t>
        </is>
      </c>
      <c r="D707" s="13" t="inlineStr">
        <is>
          <t>✅</t>
        </is>
      </c>
      <c r="E707" s="16" t="inlineStr">
        <is>
          <t>公式</t>
        </is>
      </c>
      <c r="F707" s="17" t="inlineStr">
        <is>
          <t>https://help.connpass.com/organizers/event-detail</t>
        </is>
      </c>
      <c r="G707" s="16" t="inlineStr">
        <is>
          <t>参加枠ごとに定員を設定し参加者・補欠者を表示する。受付しないイベントでも定員は表示用に設定できる</t>
        </is>
      </c>
    </row>
    <row r="708">
      <c r="A708" s="16" t="inlineStr">
        <is>
          <t>connpass</t>
        </is>
      </c>
      <c r="B708" s="16" t="inlineStr">
        <is>
          <t>JN06</t>
        </is>
      </c>
      <c r="C708" s="16" t="inlineStr">
        <is>
          <t>追加質問・同行者の入力</t>
        </is>
      </c>
      <c r="D708" s="13" t="inlineStr">
        <is>
          <t>△</t>
        </is>
      </c>
      <c r="E708" s="16" t="inlineStr">
        <is>
          <t>公式</t>
        </is>
      </c>
      <c r="F708" s="17" t="inlineStr">
        <is>
          <t>https://help.connpass.com/organizers/event-form</t>
        </is>
      </c>
      <c r="G708" s="16" t="inlineStr">
        <is>
          <t>アンケート(自由記述・チェックボックス・ラジオ・プルダウン、必須設定可)で質問できる。同行者入力は確認できず(1イベント1枠のみ申込可)</t>
        </is>
      </c>
    </row>
    <row r="709">
      <c r="A709" s="16" t="inlineStr">
        <is>
          <t>connpass</t>
        </is>
      </c>
      <c r="B709" s="16" t="inlineStr">
        <is>
          <t>JN07</t>
        </is>
      </c>
      <c r="C709" s="16" t="inlineStr">
        <is>
          <t>参加者のセルフキャンセル</t>
        </is>
      </c>
      <c r="D709" s="13" t="inlineStr">
        <is>
          <t>✅</t>
        </is>
      </c>
      <c r="E709" s="16" t="inlineStr">
        <is>
          <t>公式</t>
        </is>
      </c>
      <c r="F709" s="17" t="inlineStr">
        <is>
          <t>https://help.connpass.com/participants/event-join</t>
        </is>
      </c>
      <c r="G709" s="16" t="inlineStr">
        <is>
          <t>参加者・補欠者が自分でキャンセルできる。返金機能はなく払い戻しは主催者がPayPalで対応</t>
        </is>
      </c>
    </row>
    <row r="710">
      <c r="A710" s="16" t="inlineStr">
        <is>
          <t>connpass</t>
        </is>
      </c>
      <c r="B710" s="16" t="inlineStr">
        <is>
          <t>JN08</t>
        </is>
      </c>
      <c r="C710" s="16" t="inlineStr">
        <is>
          <t>カレンダー追加</t>
        </is>
      </c>
      <c r="D710" s="13" t="inlineStr">
        <is>
          <t>✅</t>
        </is>
      </c>
      <c r="E710" s="16" t="inlineStr">
        <is>
          <t>公式</t>
        </is>
      </c>
      <c r="F710" s="17" t="inlineStr">
        <is>
          <t>https://help.connpass.com/participants/calendar</t>
        </is>
      </c>
      <c r="G710" s="16" t="inlineStr">
        <is>
          <t>イベントページからGoogleカレンダー追加とicsファイル取得ができ、利用設定でカレンダー連携(参加登録時に自動反映)も可。購読URLは確認できず</t>
        </is>
      </c>
    </row>
    <row r="711">
      <c r="A711" s="16" t="inlineStr">
        <is>
          <t>connpass</t>
        </is>
      </c>
      <c r="B711" s="16" t="inlineStr">
        <is>
          <t>JN09</t>
        </is>
      </c>
      <c r="C711" s="16" t="inlineStr">
        <is>
          <t>開催前リマインド</t>
        </is>
      </c>
      <c r="D711" s="13" t="inlineStr">
        <is>
          <t>✅</t>
        </is>
      </c>
      <c r="E711" s="16" t="inlineStr">
        <is>
          <t>公式</t>
        </is>
      </c>
      <c r="F711" s="17" t="inlineStr">
        <is>
          <t>https://connpass.com/about/</t>
        </is>
      </c>
      <c r="G711" s="16" t="inlineStr">
        <is>
          <t>イベント前日のメール通知がある(機能紹介)。グループの募集終了1日前の通知もある。グロース根拠あり(通知メール)</t>
        </is>
      </c>
    </row>
    <row r="712">
      <c r="A712" s="16" t="inlineStr">
        <is>
          <t>connpass</t>
        </is>
      </c>
      <c r="B712" s="16" t="inlineStr">
        <is>
          <t>JN10</t>
        </is>
      </c>
      <c r="C712" s="16" t="inlineStr">
        <is>
          <t>QRチケット・当日受付</t>
        </is>
      </c>
      <c r="D712" s="13" t="inlineStr">
        <is>
          <t>✅</t>
        </is>
      </c>
      <c r="E712" s="16" t="inlineStr">
        <is>
          <t>公式</t>
        </is>
      </c>
      <c r="F712" s="17" t="inlineStr">
        <is>
          <t>https://help.connpass.com/topics/event-attendee-qr-checkin</t>
        </is>
      </c>
      <c r="G712" s="16" t="inlineStr">
        <is>
          <t>受付票のQRコードを管理者がスマホで読み取り出席処理できる。出席コード方式と参加者によるオンライン出席(2023-09)もある</t>
        </is>
      </c>
    </row>
    <row r="713">
      <c r="A713" s="16" t="inlineStr">
        <is>
          <t>connpass</t>
        </is>
      </c>
      <c r="B713" s="16" t="inlineStr">
        <is>
          <t>JN11</t>
        </is>
      </c>
      <c r="C713" s="16" t="inlineStr">
        <is>
          <t>参加者一覧の閲覧</t>
        </is>
      </c>
      <c r="D713" s="13" t="inlineStr">
        <is>
          <t>✅</t>
        </is>
      </c>
      <c r="E713" s="16" t="inlineStr">
        <is>
          <t>公式</t>
        </is>
      </c>
      <c r="F713" s="17" t="inlineStr">
        <is>
          <t>https://help.connpass.com/faq/event_organize</t>
        </is>
      </c>
      <c r="G713" s="16" t="inlineStr">
        <is>
          <t>申込者はイベントページの参加者一覧に表示される。参加者を非表示にする機能はない(FAQ)</t>
        </is>
      </c>
    </row>
    <row r="714">
      <c r="A714" s="16" t="inlineStr">
        <is>
          <t>connpass</t>
        </is>
      </c>
      <c r="B714" s="16" t="inlineStr">
        <is>
          <t>JN12</t>
        </is>
      </c>
      <c r="C714" s="16" t="inlineStr">
        <is>
          <t>イベント後の体験</t>
        </is>
      </c>
      <c r="D714" s="13" t="inlineStr">
        <is>
          <t>✅</t>
        </is>
      </c>
      <c r="E714" s="16" t="inlineStr">
        <is>
          <t>公式</t>
        </is>
      </c>
      <c r="F714" s="17" t="inlineStr">
        <is>
          <t>https://connpass.com/about/</t>
        </is>
      </c>
      <c r="G714" s="16" t="inlineStr">
        <is>
          <t>イベント後のお疲れ様メール、発表資料の公開、フィード(コメント)がある。レビュー・評価は確認できず(CR06参照)</t>
        </is>
      </c>
    </row>
    <row r="715">
      <c r="A715" s="16" t="inlineStr">
        <is>
          <t>connpass</t>
        </is>
      </c>
      <c r="B715" s="16" t="inlineStr">
        <is>
          <t>SH01</t>
        </is>
      </c>
      <c r="C715" s="16" t="inlineStr">
        <is>
          <t>共有用URL・OGPカード</t>
        </is>
      </c>
      <c r="D715" s="13" t="inlineStr">
        <is>
          <t>✅</t>
        </is>
      </c>
      <c r="E715" s="16" t="inlineStr">
        <is>
          <t>公式</t>
        </is>
      </c>
      <c r="F715" s="17" t="inlineStr">
        <is>
          <t>https://help.connpass.com/organizers/event-detail</t>
        </is>
      </c>
      <c r="G715" s="16" t="inlineStr">
        <is>
          <t>イベントページをX・Facebookで告知でき、X投稿のサムネイルにイベント画像(推奨1.91:1)を使う。OGP実装の詳細は未確認</t>
        </is>
      </c>
    </row>
    <row r="716">
      <c r="A716" s="16" t="inlineStr">
        <is>
          <t>connpass</t>
        </is>
      </c>
      <c r="B716" s="16" t="inlineStr">
        <is>
          <t>SH02</t>
        </is>
      </c>
      <c r="C716" s="16" t="inlineStr">
        <is>
          <t>SNS・メッセージ共有ボタン</t>
        </is>
      </c>
      <c r="D716" s="13" t="inlineStr">
        <is>
          <t>△</t>
        </is>
      </c>
      <c r="E716" s="16" t="inlineStr">
        <is>
          <t>公式</t>
        </is>
      </c>
      <c r="F716" s="17" t="inlineStr">
        <is>
          <t>https://help.connpass.com/announcements/update/20260624</t>
        </is>
      </c>
      <c r="G716" s="16" t="inlineStr">
        <is>
          <t>イベント公開時のX連動ポストが残る。申込時・コメント時のX投稿と印刷用名札は2026-06に終了(Xの外部連携仕様変更)。LINE等の共有ボタンは確認できず</t>
        </is>
      </c>
    </row>
    <row r="717">
      <c r="A717" s="16" t="inlineStr">
        <is>
          <t>connpass</t>
        </is>
      </c>
      <c r="B717" s="16" t="inlineStr">
        <is>
          <t>SH03</t>
        </is>
      </c>
      <c r="C717" s="16" t="inlineStr">
        <is>
          <t>友人・同行者の招待導線</t>
        </is>
      </c>
      <c r="D717" s="13" t="inlineStr">
        <is>
          <t>△</t>
        </is>
      </c>
      <c r="E717" s="16" t="inlineStr">
        <is>
          <t>公式</t>
        </is>
      </c>
      <c r="F717" s="17" t="inlineStr">
        <is>
          <t>https://connpass.com/about/</t>
        </is>
      </c>
      <c r="G717" s="16" t="inlineStr">
        <is>
          <t>イベント公開時に友達(Facebook・GitHub連携)へ自動通知しXへ告知できる。申込後に友人を招待する導線は確認できず</t>
        </is>
      </c>
    </row>
    <row r="718">
      <c r="A718" s="16" t="inlineStr">
        <is>
          <t>connpass</t>
        </is>
      </c>
      <c r="B718" s="16" t="inlineStr">
        <is>
          <t>SH04</t>
        </is>
      </c>
      <c r="C718" s="16" t="inlineStr">
        <is>
          <t>紹介リンク・紹介の可視化</t>
        </is>
      </c>
      <c r="D718" s="13" t="inlineStr">
        <is>
          <t>？</t>
        </is>
      </c>
      <c r="E718" s="16" t="inlineStr">
        <is>
          <t>なし</t>
        </is>
      </c>
      <c r="F718" s="16" t="inlineStr"/>
      <c r="G718" s="16" t="inlineStr">
        <is>
          <t>紹介リンク・紹介者の可視化は確認できなかった</t>
        </is>
      </c>
    </row>
    <row r="719">
      <c r="A719" s="16" t="inlineStr">
        <is>
          <t>connpass</t>
        </is>
      </c>
      <c r="B719" s="16" t="inlineStr">
        <is>
          <t>SH05</t>
        </is>
      </c>
      <c r="C719" s="16" t="inlineStr">
        <is>
          <t>連絡先・SNS連携で友人発見</t>
        </is>
      </c>
      <c r="D719" s="13" t="inlineStr">
        <is>
          <t>✅</t>
        </is>
      </c>
      <c r="E719" s="16" t="inlineStr">
        <is>
          <t>公式</t>
        </is>
      </c>
      <c r="F719" s="17" t="inlineStr">
        <is>
          <t>https://help.connpass.com/basic/invite-followers</t>
        </is>
      </c>
      <c r="G719" s="16" t="inlineStr">
        <is>
          <t>FacebookとGitHubの友人関係を自動取得し、友人の開催・参加イベントをホームに表示しメールで通知する。ヘルプの更新日は不明で現行の連携動作は未検証。連絡先連携は確認できず</t>
        </is>
      </c>
    </row>
    <row r="720">
      <c r="A720" s="16" t="inlineStr">
        <is>
          <t>connpass</t>
        </is>
      </c>
      <c r="B720" s="16" t="inlineStr">
        <is>
          <t>SH06</t>
        </is>
      </c>
      <c r="C720" s="16" t="inlineStr">
        <is>
          <t>社会的証明の表示</t>
        </is>
      </c>
      <c r="D720" s="13" t="inlineStr">
        <is>
          <t>✅</t>
        </is>
      </c>
      <c r="E720" s="16" t="inlineStr">
        <is>
          <t>公式</t>
        </is>
      </c>
      <c r="F720" s="17" t="inlineStr">
        <is>
          <t>https://help.connpass.com/participants/bookmark</t>
        </is>
      </c>
      <c r="G720" s="16" t="inlineStr">
        <is>
          <t>参加者一覧・参加人数を表示し、イベントページに『ブックマークしているフォロー中ユーザーの数』も出す</t>
        </is>
      </c>
    </row>
    <row r="721">
      <c r="A721" s="16" t="inlineStr">
        <is>
          <t>connpass</t>
        </is>
      </c>
      <c r="B721" s="16" t="inlineStr">
        <is>
          <t>SH07</t>
        </is>
      </c>
      <c r="C721" s="16" t="inlineStr">
        <is>
          <t>QR・短縮URL・チラシ生成</t>
        </is>
      </c>
      <c r="D721" s="13" t="inlineStr">
        <is>
          <t>？</t>
        </is>
      </c>
      <c r="E721" s="16" t="inlineStr">
        <is>
          <t>なし</t>
        </is>
      </c>
      <c r="F721" s="16" t="inlineStr"/>
      <c r="G721" s="16" t="inlineStr">
        <is>
          <t>受付票(QR・印刷)はあるが、集客用のQR・短縮URL・チラシ生成は確認できなかった</t>
        </is>
      </c>
    </row>
    <row r="722">
      <c r="A722" s="16" t="inlineStr">
        <is>
          <t>connpass</t>
        </is>
      </c>
      <c r="B722" s="16" t="inlineStr">
        <is>
          <t>SH08</t>
        </is>
      </c>
      <c r="C722" s="16" t="inlineStr">
        <is>
          <t>埋め込みウィジェット</t>
        </is>
      </c>
      <c r="D722" s="13" t="inlineStr">
        <is>
          <t>？</t>
        </is>
      </c>
      <c r="E722" s="16" t="inlineStr">
        <is>
          <t>なし</t>
        </is>
      </c>
      <c r="F722" s="16" t="inlineStr"/>
      <c r="G722" s="16" t="inlineStr">
        <is>
          <t>新着イベントのAtomフィードとAPI(v2)はあるが、埋め込みウィジェットは確認できなかった</t>
        </is>
      </c>
    </row>
    <row r="723">
      <c r="A723" s="16" t="inlineStr">
        <is>
          <t>connpass</t>
        </is>
      </c>
      <c r="B723" s="16" t="inlineStr">
        <is>
          <t>OP01</t>
        </is>
      </c>
      <c r="C723" s="16" t="inlineStr">
        <is>
          <t>簡単な作成</t>
        </is>
      </c>
      <c r="D723" s="13" t="inlineStr">
        <is>
          <t>✅</t>
        </is>
      </c>
      <c r="E723" s="16" t="inlineStr">
        <is>
          <t>公式</t>
        </is>
      </c>
      <c r="F723" s="17" t="inlineStr">
        <is>
          <t>https://help.connpass.com/organizers/event-detail</t>
        </is>
      </c>
      <c r="G723" s="16" t="inlineStr">
        <is>
          <t>イベント名を入力して編集画面に進み、1画面で作成・保存し即時公開できる。過去イベントのコピー作成も可</t>
        </is>
      </c>
    </row>
    <row r="724">
      <c r="A724" s="16" t="inlineStr">
        <is>
          <t>connpass</t>
        </is>
      </c>
      <c r="B724" s="16" t="inlineStr">
        <is>
          <t>OP02</t>
        </is>
      </c>
      <c r="C724" s="16" t="inlineStr">
        <is>
          <t>コピー・繰り返し作成</t>
        </is>
      </c>
      <c r="D724" s="13" t="inlineStr">
        <is>
          <t>✅</t>
        </is>
      </c>
      <c r="E724" s="16" t="inlineStr">
        <is>
          <t>公式</t>
        </is>
      </c>
      <c r="F724" s="17" t="inlineStr">
        <is>
          <t>https://help.connpass.com/organizers/event-detail</t>
        </is>
      </c>
      <c r="G724" s="16" t="inlineStr">
        <is>
          <t>過去イベントのコピー作成ができ(アンケートは複製されないが管理履歴から複製可)、グループで定例イベントをまとめる。繰り返しの自動生成は確認できず</t>
        </is>
      </c>
    </row>
    <row r="725">
      <c r="A725" s="16" t="inlineStr">
        <is>
          <t>connpass</t>
        </is>
      </c>
      <c r="B725" s="16" t="inlineStr">
        <is>
          <t>OP03</t>
        </is>
      </c>
      <c r="C725" s="16" t="inlineStr">
        <is>
          <t>下書き・限定公開</t>
        </is>
      </c>
      <c r="D725" s="13" t="inlineStr">
        <is>
          <t>△</t>
        </is>
      </c>
      <c r="E725" s="16" t="inlineStr">
        <is>
          <t>公式</t>
        </is>
      </c>
      <c r="F725" s="17" t="inlineStr">
        <is>
          <t>https://help.connpass.com/faq/event_organize</t>
        </is>
      </c>
      <c r="G725" s="16" t="inlineStr">
        <is>
          <t>下書き保存と公開予約(2021-06)はある。限定公開・非公開イベントは非対応(FAQ『一般公開されないイベント機能はない』)で、グループも非公開不可</t>
        </is>
      </c>
    </row>
    <row r="726">
      <c r="A726" s="16" t="inlineStr">
        <is>
          <t>connpass</t>
        </is>
      </c>
      <c r="B726" s="16" t="inlineStr">
        <is>
          <t>OP04</t>
        </is>
      </c>
      <c r="C726" s="16" t="inlineStr">
        <is>
          <t>AI作成支援</t>
        </is>
      </c>
      <c r="D726" s="13" t="inlineStr">
        <is>
          <t>？</t>
        </is>
      </c>
      <c r="E726" s="16" t="inlineStr">
        <is>
          <t>なし</t>
        </is>
      </c>
      <c r="F726" s="16" t="inlineStr"/>
      <c r="G726" s="16" t="inlineStr">
        <is>
          <t>AI作成支援は公式ヘルプ・お知らせで確認できなかった</t>
        </is>
      </c>
    </row>
    <row r="727">
      <c r="A727" s="16" t="inlineStr">
        <is>
          <t>connpass</t>
        </is>
      </c>
      <c r="B727" s="16" t="inlineStr">
        <is>
          <t>OP05</t>
        </is>
      </c>
      <c r="C727" s="16" t="inlineStr">
        <is>
          <t>共同主催・運営メンバー権限</t>
        </is>
      </c>
      <c r="D727" s="13" t="inlineStr">
        <is>
          <t>△</t>
        </is>
      </c>
      <c r="E727" s="16" t="inlineStr">
        <is>
          <t>公式</t>
        </is>
      </c>
      <c r="F727" s="17" t="inlineStr">
        <is>
          <t>https://help.connpass.com/organizers/multiple-admins</t>
        </is>
      </c>
      <c r="G727" s="16" t="inlineStr">
        <is>
          <t>イベントとグループに共同管理者を追加でき、参加者管理・メッセージ送信を作成者と同等の権限で行える。権限の段階分けは確認できず</t>
        </is>
      </c>
    </row>
    <row r="728">
      <c r="A728" s="16" t="inlineStr">
        <is>
          <t>connpass</t>
        </is>
      </c>
      <c r="B728" s="16" t="inlineStr">
        <is>
          <t>OP06</t>
        </is>
      </c>
      <c r="C728" s="16" t="inlineStr">
        <is>
          <t>参加者管理・名簿出力</t>
        </is>
      </c>
      <c r="D728" s="13" t="inlineStr">
        <is>
          <t>✅</t>
        </is>
      </c>
      <c r="E728" s="16" t="inlineStr">
        <is>
          <t>公式</t>
        </is>
      </c>
      <c r="F728" s="17" t="inlineStr">
        <is>
          <t>https://help.connpass.com/organizers/event-admin</t>
        </is>
      </c>
      <c r="G728" s="16" t="inlineStr">
        <is>
          <t>申込者管理で名簿を確認しCSVでダウンロードできる(出席結果・アンケート回答を含む)。参加者のメールアドレスは主催者に非公開</t>
        </is>
      </c>
    </row>
    <row r="729">
      <c r="A729" s="16" t="inlineStr">
        <is>
          <t>connpass</t>
        </is>
      </c>
      <c r="B729" s="16" t="inlineStr">
        <is>
          <t>OP07</t>
        </is>
      </c>
      <c r="C729" s="16" t="inlineStr">
        <is>
          <t>一斉メッセージ</t>
        </is>
      </c>
      <c r="D729" s="13" t="inlineStr">
        <is>
          <t>✅</t>
        </is>
      </c>
      <c r="E729" s="16" t="inlineStr">
        <is>
          <t>公式</t>
        </is>
      </c>
      <c r="F729" s="17" t="inlineStr">
        <is>
          <t>https://help.connpass.com/announcements/info/20260805</t>
        </is>
      </c>
      <c r="G729" s="16" t="inlineStr">
        <is>
          <t>参加者・補欠者・発表者・共同管理者へのイベントメッセージ(予約送信可)とグループメッセージがある。2026-11から全アカウントのグループメッセージに月7,000通の上限(有料プランは月20,000通または無制限の予定・料金未発表)。参加者の返信は受信不可。グループ通知はグロース根拠あり</t>
        </is>
      </c>
    </row>
    <row r="730">
      <c r="A730" s="16" t="inlineStr">
        <is>
          <t>connpass</t>
        </is>
      </c>
      <c r="B730" s="16" t="inlineStr">
        <is>
          <t>OP08</t>
        </is>
      </c>
      <c r="C730" s="16" t="inlineStr">
        <is>
          <t>当日運営ツール</t>
        </is>
      </c>
      <c r="D730" s="13" t="inlineStr">
        <is>
          <t>✅</t>
        </is>
      </c>
      <c r="E730" s="16" t="inlineStr">
        <is>
          <t>公式</t>
        </is>
      </c>
      <c r="F730" s="17" t="inlineStr">
        <is>
          <t>https://help.connpass.com/organizers/event-admin</t>
        </is>
      </c>
      <c r="G730" s="16" t="inlineStr">
        <is>
          <t>出席管理は3方式(管理者のチェック・出席コード・QRコード読み取り)、名簿、受付票、参加者によるオンライン出席(2023-09)がある</t>
        </is>
      </c>
    </row>
    <row r="731">
      <c r="A731" s="16" t="inlineStr">
        <is>
          <t>connpass</t>
        </is>
      </c>
      <c r="B731" s="16" t="inlineStr">
        <is>
          <t>OP09</t>
        </is>
      </c>
      <c r="C731" s="16" t="inlineStr">
        <is>
          <t>売上・入金管理</t>
        </is>
      </c>
      <c r="D731" s="13" t="inlineStr">
        <is>
          <t>△</t>
        </is>
      </c>
      <c r="E731" s="16" t="inlineStr">
        <is>
          <t>公式</t>
        </is>
      </c>
      <c r="F731" s="17" t="inlineStr">
        <is>
          <t>https://help.connpass.com/organizers/paid-event-edit</t>
        </is>
      </c>
      <c r="G731" s="16" t="inlineStr">
        <is>
          <t>参加費はPayPalの本人確認済みアカウントへ決済と同時に直接入金される。connpass上の売上確認・払い戻し機能の記載はなく返金は主催者がPayPalで行う</t>
        </is>
      </c>
    </row>
    <row r="732">
      <c r="A732" s="16" t="inlineStr">
        <is>
          <t>connpass</t>
        </is>
      </c>
      <c r="B732" s="16" t="inlineStr">
        <is>
          <t>OP10</t>
        </is>
      </c>
      <c r="C732" s="16" t="inlineStr">
        <is>
          <t>流入・申込の分析</t>
        </is>
      </c>
      <c r="D732" s="13" t="inlineStr">
        <is>
          <t>✅</t>
        </is>
      </c>
      <c r="E732" s="16" t="inlineStr">
        <is>
          <t>公式</t>
        </is>
      </c>
      <c r="F732" s="17" t="inlineStr">
        <is>
          <t>https://help.connpass.com/organizers/stats</t>
        </is>
      </c>
      <c r="G732" s="16" t="inlineStr">
        <is>
          <t>日別のPV・ユニークユーザー・申込数の推移と流入元(通知メール・グループページ・connpass共通ページ・ダイレクト)を表示。UTM集計の記載はない。GA4連携は有料プラン(コミュニティ1グループ・スタンダード3グループ)で提供予定</t>
        </is>
      </c>
    </row>
    <row r="733">
      <c r="A733" s="16" t="inlineStr">
        <is>
          <t>connpass</t>
        </is>
      </c>
      <c r="B733" s="16" t="inlineStr">
        <is>
          <t>OP11</t>
        </is>
      </c>
      <c r="C733" s="16" t="inlineStr">
        <is>
          <t>主催者ページ・グループページ</t>
        </is>
      </c>
      <c r="D733" s="13" t="inlineStr">
        <is>
          <t>✅</t>
        </is>
      </c>
      <c r="E733" s="16" t="inlineStr">
        <is>
          <t>公式</t>
        </is>
      </c>
      <c r="F733" s="17" t="inlineStr">
        <is>
          <t>https://help.connpass.com/organizers/group</t>
        </is>
      </c>
      <c r="G733" s="16" t="inlineStr">
        <is>
          <t>グループページ(サブドメイン・カバー画像・過去イベント一覧・リンク)と主催者プロフィールがある。全イベント・グループは公開で非公開にできない</t>
        </is>
      </c>
    </row>
    <row r="734">
      <c r="A734" s="16" t="inlineStr">
        <is>
          <t>connpass</t>
        </is>
      </c>
      <c r="B734" s="16" t="inlineStr">
        <is>
          <t>OP12</t>
        </is>
      </c>
      <c r="C734" s="16" t="inlineStr">
        <is>
          <t>外部ツール連携・API</t>
        </is>
      </c>
      <c r="D734" s="13" t="inlineStr">
        <is>
          <t>✅</t>
        </is>
      </c>
      <c r="E734" s="16" t="inlineStr">
        <is>
          <t>公式</t>
        </is>
      </c>
      <c r="F734" s="17" t="inlineStr">
        <is>
          <t>https://help.connpass.com/api/</t>
        </is>
      </c>
      <c r="G734" s="16" t="inlineStr">
        <is>
          <t>API(v2)は企業向け有料(月額297000円)とコミュニティ・個人向け無料(申請・審査)。イベントサーチAPIの無料提供廃止を2024-02に告知。カレンダー連携・X連携・GA4連携(有料予定)もある。Slack連携は確認できず。公式iOSアプリは2024-05に提供終了</t>
        </is>
      </c>
    </row>
    <row r="735">
      <c r="A735" s="16" t="inlineStr">
        <is>
          <t>connpass</t>
        </is>
      </c>
      <c r="B735" s="16" t="inlineStr">
        <is>
          <t>AC01</t>
        </is>
      </c>
      <c r="C735" s="16" t="inlineStr">
        <is>
          <t>無料イベントは無料</t>
        </is>
      </c>
      <c r="D735" s="13" t="inlineStr">
        <is>
          <t>✅</t>
        </is>
      </c>
      <c r="E735" s="16" t="inlineStr">
        <is>
          <t>公式</t>
        </is>
      </c>
      <c r="F735" s="17" t="inlineStr">
        <is>
          <t>https://help.connpass.com/faq/event_organize</t>
        </is>
      </c>
      <c r="G735" s="16" t="inlineStr">
        <is>
          <t>無料でイベントを作成できる(FAQ)。有料の前払いもconnpassの手数料は0円(PayPal手数料のみ)</t>
        </is>
      </c>
    </row>
    <row r="736">
      <c r="A736" s="16" t="inlineStr">
        <is>
          <t>connpass</t>
        </is>
      </c>
      <c r="B736" s="16" t="inlineStr">
        <is>
          <t>AC02</t>
        </is>
      </c>
      <c r="C736" s="16" t="inlineStr">
        <is>
          <t>手数料負担の選択</t>
        </is>
      </c>
      <c r="D736" s="13" t="inlineStr">
        <is>
          <t>？</t>
        </is>
      </c>
      <c r="E736" s="16" t="inlineStr">
        <is>
          <t>なし</t>
        </is>
      </c>
      <c r="F736" s="16" t="inlineStr"/>
      <c r="G736" s="16" t="inlineStr">
        <is>
          <t>有料イベントのPayPal手数料は主催者が負担すると明記されているのみで、購入者負担を選ぶ機能は確認できなかった</t>
        </is>
      </c>
    </row>
    <row r="737">
      <c r="A737" s="16" t="inlineStr">
        <is>
          <t>connpass</t>
        </is>
      </c>
      <c r="B737" s="16" t="inlineStr">
        <is>
          <t>AC03</t>
        </is>
      </c>
      <c r="C737" s="16" t="inlineStr">
        <is>
          <t>参加者データの所有・出力</t>
        </is>
      </c>
      <c r="D737" s="13" t="inlineStr">
        <is>
          <t>△</t>
        </is>
      </c>
      <c r="E737" s="16" t="inlineStr">
        <is>
          <t>公式</t>
        </is>
      </c>
      <c r="F737" s="17" t="inlineStr">
        <is>
          <t>https://help.connpass.com/organizers/event-admin</t>
        </is>
      </c>
      <c r="G737" s="16" t="inlineStr">
        <is>
          <t>名簿(ユーザー名・アンケート回答)をCSV出力できるが、参加者のメールアドレスは主催者に公開されない。必要ならアンケートで収集(主催者の責任)</t>
        </is>
      </c>
    </row>
    <row r="738">
      <c r="A738" s="16" t="inlineStr">
        <is>
          <t>connpass</t>
        </is>
      </c>
      <c r="B738" s="16" t="inlineStr">
        <is>
          <t>AC04</t>
        </is>
      </c>
      <c r="C738" s="16" t="inlineStr">
        <is>
          <t>他サービスからの移行</t>
        </is>
      </c>
      <c r="D738" s="13" t="inlineStr">
        <is>
          <t>？</t>
        </is>
      </c>
      <c r="E738" s="16" t="inlineStr">
        <is>
          <t>なし</t>
        </is>
      </c>
      <c r="F738" s="16" t="inlineStr"/>
      <c r="G738" s="16" t="inlineStr">
        <is>
          <t>他サービスからの移行・インポート機能は確認できなかった</t>
        </is>
      </c>
    </row>
    <row r="739">
      <c r="A739" s="16" t="inlineStr">
        <is>
          <t>connpass</t>
        </is>
      </c>
      <c r="B739" s="16" t="inlineStr">
        <is>
          <t>AC05</t>
        </is>
      </c>
      <c r="C739" s="16" t="inlineStr">
        <is>
          <t>主催者紹介・アンバサダー</t>
        </is>
      </c>
      <c r="D739" s="13" t="inlineStr">
        <is>
          <t>？</t>
        </is>
      </c>
      <c r="E739" s="16" t="inlineStr">
        <is>
          <t>なし</t>
        </is>
      </c>
      <c r="F739" s="16" t="inlineStr"/>
      <c r="G739" s="16" t="inlineStr">
        <is>
          <t>主催者紹介・アンバサダー制度は確認できなかった</t>
        </is>
      </c>
    </row>
    <row r="740">
      <c r="A740" s="16" t="inlineStr">
        <is>
          <t>connpass</t>
        </is>
      </c>
      <c r="B740" s="16" t="inlineStr">
        <is>
          <t>AC06</t>
        </is>
      </c>
      <c r="C740" s="16" t="inlineStr">
        <is>
          <t>主催者向け教育・テンプレ</t>
        </is>
      </c>
      <c r="D740" s="13" t="inlineStr">
        <is>
          <t>✅</t>
        </is>
      </c>
      <c r="E740" s="16" t="inlineStr">
        <is>
          <t>公式</t>
        </is>
      </c>
      <c r="F740" s="17" t="inlineStr">
        <is>
          <t>https://help.connpass.com/</t>
        </is>
      </c>
      <c r="G740" s="16" t="inlineStr">
        <is>
          <t>ご利用ガイド(初めての方へ・主催者の機能・特集)で運用手順と活用方法を公開している。ウェビナー・テンプレートは確認できず</t>
        </is>
      </c>
    </row>
    <row r="741">
      <c r="A741" s="16" t="inlineStr">
        <is>
          <t>connpass</t>
        </is>
      </c>
      <c r="B741" s="16" t="inlineStr">
        <is>
          <t>AC07</t>
        </is>
      </c>
      <c r="C741" s="16" t="inlineStr">
        <is>
          <t>集客支援の商品</t>
        </is>
      </c>
      <c r="D741" s="13" t="inlineStr">
        <is>
          <t>△</t>
        </is>
      </c>
      <c r="E741" s="16" t="inlineStr">
        <is>
          <t>公式</t>
        </is>
      </c>
      <c r="F741" s="17" t="inlineStr">
        <is>
          <t>https://help.connpass.com/faq/advertisement</t>
        </is>
      </c>
      <c r="G741" s="16" t="inlineStr">
        <is>
          <t>集客目的の有料プランはなく、純広告(バナー)の掲載のみ案内している。料金は資料請求</t>
        </is>
      </c>
    </row>
    <row r="742">
      <c r="A742" s="16" t="inlineStr">
        <is>
          <t>connpass</t>
        </is>
      </c>
      <c r="B742" s="16" t="inlineStr">
        <is>
          <t>AC08</t>
        </is>
      </c>
      <c r="C742" s="16" t="inlineStr">
        <is>
          <t>運営主催・公式イベント</t>
        </is>
      </c>
      <c r="D742" s="13" t="inlineStr">
        <is>
          <t>✅</t>
        </is>
      </c>
      <c r="E742" s="16" t="inlineStr">
        <is>
          <t>公式</t>
        </is>
      </c>
      <c r="F742" s="17" t="inlineStr">
        <is>
          <t>https://www.beproud.jp/company/company_history/</t>
        </is>
      </c>
      <c r="G742" s="16" t="inlineStr">
        <is>
          <t>運営会社ビープラウドが自社の勉強会BPStudyを2007-09から開催し(2015-12に100回)、connpassを2011-10に開始した。グロース根拠あり(既存の概観文書では2017-08に120回、自社開催が初期の供給)</t>
        </is>
      </c>
    </row>
    <row r="743">
      <c r="A743" s="16" t="inlineStr">
        <is>
          <t>connpass</t>
        </is>
      </c>
      <c r="B743" s="16" t="inlineStr">
        <is>
          <t>CR01</t>
        </is>
      </c>
      <c r="C743" s="16" t="inlineStr">
        <is>
          <t>ダイジェスト・おすすめ通知</t>
        </is>
      </c>
      <c r="D743" s="13" t="inlineStr">
        <is>
          <t>△</t>
        </is>
      </c>
      <c r="E743" s="16" t="inlineStr">
        <is>
          <t>公式</t>
        </is>
      </c>
      <c r="F743" s="17" t="inlineStr">
        <is>
          <t>https://help.connpass.com/basic/setting_mail</t>
        </is>
      </c>
      <c r="G743" s="16" t="inlineStr">
        <is>
          <t>友達の開催・参加、グループの新規公開・募集開始・募集終了1日前などを通知メールで届ける(設定可)。おすすめをまとめた定期ダイジェストは確認できず。グロース根拠あり(創業者談で通知メール経由が会場の8〜9割、二次情報)</t>
        </is>
      </c>
    </row>
    <row r="744">
      <c r="A744" s="16" t="inlineStr">
        <is>
          <t>connpass</t>
        </is>
      </c>
      <c r="B744" s="16" t="inlineStr">
        <is>
          <t>CR02</t>
        </is>
      </c>
      <c r="C744" s="16" t="inlineStr">
        <is>
          <t>自動メンバー化</t>
        </is>
      </c>
      <c r="D744" s="13" t="inlineStr">
        <is>
          <t>✅</t>
        </is>
      </c>
      <c r="E744" s="16" t="inlineStr">
        <is>
          <t>公式</t>
        </is>
      </c>
      <c r="F744" s="17" t="inlineStr">
        <is>
          <t>https://help.connpass.com/participants/group</t>
        </is>
      </c>
      <c r="G744" s="16" t="inlineStr">
        <is>
          <t>グループに紐づくイベントに参加すると自動でグループメンバーになり、以後の開催通知を受け取る。グロース根拠あり(グループ通知)</t>
        </is>
      </c>
    </row>
    <row r="745">
      <c r="A745" s="16" t="inlineStr">
        <is>
          <t>connpass</t>
        </is>
      </c>
      <c r="B745" s="16" t="inlineStr">
        <is>
          <t>CR03</t>
        </is>
      </c>
      <c r="C745" s="16" t="inlineStr">
        <is>
          <t>前回参加者への優先案内</t>
        </is>
      </c>
      <c r="D745" s="13" t="inlineStr">
        <is>
          <t>△</t>
        </is>
      </c>
      <c r="E745" s="16" t="inlineStr">
        <is>
          <t>公式</t>
        </is>
      </c>
      <c r="F745" s="17" t="inlineStr">
        <is>
          <t>https://help.connpass.com/organizers/bulk-message</t>
        </is>
      </c>
      <c r="G745" s="16" t="inlineStr">
        <is>
          <t>グループメンバー(参加者は自動加入)へグループメッセージで案内できる。先行・優先受付の機能は確認できず</t>
        </is>
      </c>
    </row>
    <row r="746">
      <c r="A746" s="16" t="inlineStr">
        <is>
          <t>connpass</t>
        </is>
      </c>
      <c r="B746" s="16" t="inlineStr">
        <is>
          <t>CR04</t>
        </is>
      </c>
      <c r="C746" s="16" t="inlineStr">
        <is>
          <t>主催者CRM・購読者リスト</t>
        </is>
      </c>
      <c r="D746" s="13" t="inlineStr">
        <is>
          <t>△</t>
        </is>
      </c>
      <c r="E746" s="16" t="inlineStr">
        <is>
          <t>公式</t>
        </is>
      </c>
      <c r="F746" s="17" t="inlineStr">
        <is>
          <t>https://help.connpass.com/announcements/info/20260805</t>
        </is>
      </c>
      <c r="G746" s="16" t="inlineStr">
        <is>
          <t>グループメンバーを蓄積しグループメッセージで一斉配信できる。セグメント配信は確認できず。2026-11から月7,000通の上限(有料で拡張予定)</t>
        </is>
      </c>
    </row>
    <row r="747">
      <c r="A747" s="16" t="inlineStr">
        <is>
          <t>connpass</t>
        </is>
      </c>
      <c r="B747" s="16" t="inlineStr">
        <is>
          <t>CR05</t>
        </is>
      </c>
      <c r="C747" s="16" t="inlineStr">
        <is>
          <t>参加履歴・バッジ・実績</t>
        </is>
      </c>
      <c r="D747" s="13" t="inlineStr">
        <is>
          <t>△</t>
        </is>
      </c>
      <c r="E747" s="16" t="inlineStr">
        <is>
          <t>公式</t>
        </is>
      </c>
      <c r="F747" s="17" t="inlineStr">
        <is>
          <t>https://help.connpass.com/basic/user-profile</t>
        </is>
      </c>
      <c r="G747" s="16" t="inlineStr">
        <is>
          <t>プロフィールに参加・管理・発表・ブックマークの活動一覧を公開する。参加回数やバッジは記載がない</t>
        </is>
      </c>
    </row>
    <row r="748">
      <c r="A748" s="16" t="inlineStr">
        <is>
          <t>connpass</t>
        </is>
      </c>
      <c r="B748" s="16" t="inlineStr">
        <is>
          <t>CR06</t>
        </is>
      </c>
      <c r="C748" s="16" t="inlineStr">
        <is>
          <t>レビュー・評価</t>
        </is>
      </c>
      <c r="D748" s="13" t="inlineStr">
        <is>
          <t>？</t>
        </is>
      </c>
      <c r="E748" s="16" t="inlineStr">
        <is>
          <t>なし</t>
        </is>
      </c>
      <c r="F748" s="16" t="inlineStr"/>
      <c r="G748" s="16" t="inlineStr">
        <is>
          <t>主催者・イベントのレビュー・評価機能は確認できなかった</t>
        </is>
      </c>
    </row>
    <row r="749">
      <c r="A749" s="16" t="inlineStr">
        <is>
          <t>connpass</t>
        </is>
      </c>
      <c r="B749" s="16" t="inlineStr">
        <is>
          <t>CR07</t>
        </is>
      </c>
      <c r="C749" s="16" t="inlineStr">
        <is>
          <t>グループチャット・掲示板</t>
        </is>
      </c>
      <c r="D749" s="13" t="inlineStr">
        <is>
          <t>✅</t>
        </is>
      </c>
      <c r="E749" s="16" t="inlineStr">
        <is>
          <t>公式</t>
        </is>
      </c>
      <c r="F749" s="17" t="inlineStr">
        <is>
          <t>https://help.connpass.com/organizers/communication</t>
        </is>
      </c>
      <c r="G749" s="16" t="inlineStr">
        <is>
          <t>イベントページの『フィード』で参加者と管理者がコメントで交流できる(誰でも閲覧可・編集と削除は不可)。掲示板・返信は記載なし</t>
        </is>
      </c>
    </row>
    <row r="750">
      <c r="A750" s="16" t="inlineStr">
        <is>
          <t>connpass</t>
        </is>
      </c>
      <c r="B750" s="16" t="inlineStr">
        <is>
          <t>CR08</t>
        </is>
      </c>
      <c r="C750" s="16" t="inlineStr">
        <is>
          <t>年間まとめ・振り返り共有</t>
        </is>
      </c>
      <c r="D750" s="13" t="inlineStr">
        <is>
          <t>？</t>
        </is>
      </c>
      <c r="E750" s="16" t="inlineStr">
        <is>
          <t>なし</t>
        </is>
      </c>
      <c r="F750" s="16" t="inlineStr"/>
      <c r="G750" s="16" t="inlineStr">
        <is>
          <t>年間まとめ・振り返り共有は確認できなかった</t>
        </is>
      </c>
    </row>
    <row r="751">
      <c r="A751" s="16" t="inlineStr">
        <is>
          <t>connpass</t>
        </is>
      </c>
      <c r="B751" s="16" t="inlineStr">
        <is>
          <t>TS01</t>
        </is>
      </c>
      <c r="C751" s="16" t="inlineStr">
        <is>
          <t>本人確認・認証</t>
        </is>
      </c>
      <c r="D751" s="13" t="inlineStr">
        <is>
          <t>△</t>
        </is>
      </c>
      <c r="E751" s="16" t="inlineStr">
        <is>
          <t>公式</t>
        </is>
      </c>
      <c r="F751" s="17" t="inlineStr">
        <is>
          <t>https://help.connpass.com/organizers/paid-event-edit</t>
        </is>
      </c>
      <c r="G751" s="16" t="inlineStr">
        <is>
          <t>メールアドレス確認が必須。有料イベントはPayPalの本人確認済みアカウントが必要。実名・電話番号認証は確認できず</t>
        </is>
      </c>
    </row>
    <row r="752">
      <c r="A752" s="16" t="inlineStr">
        <is>
          <t>connpass</t>
        </is>
      </c>
      <c r="B752" s="16" t="inlineStr">
        <is>
          <t>TS02</t>
        </is>
      </c>
      <c r="C752" s="16" t="inlineStr">
        <is>
          <t>主催者の審査・認定</t>
        </is>
      </c>
      <c r="D752" s="13" t="inlineStr">
        <is>
          <t>△</t>
        </is>
      </c>
      <c r="E752" s="16" t="inlineStr">
        <is>
          <t>公式</t>
        </is>
      </c>
      <c r="F752" s="17" t="inlineStr">
        <is>
          <t>https://help.connpass.com/topics/event-conference-topic</t>
        </is>
      </c>
      <c r="G752" s="16" t="inlineStr">
        <is>
          <t>主催者全般の審査・認定はない。カンファレンス特集のみ運営がグループと開催内容を確認して権限を付与する</t>
        </is>
      </c>
    </row>
    <row r="753">
      <c r="A753" s="16" t="inlineStr">
        <is>
          <t>connpass</t>
        </is>
      </c>
      <c r="B753" s="16" t="inlineStr">
        <is>
          <t>TS03</t>
        </is>
      </c>
      <c r="C753" s="16" t="inlineStr">
        <is>
          <t>通報・ブロック・モデレーション</t>
        </is>
      </c>
      <c r="D753" s="13" t="inlineStr">
        <is>
          <t>✅</t>
        </is>
      </c>
      <c r="E753" s="16" t="inlineStr">
        <is>
          <t>公式</t>
        </is>
      </c>
      <c r="F753" s="17" t="inlineStr">
        <is>
          <t>https://help.connpass.com/term/guideline</t>
        </is>
      </c>
      <c r="G753" s="16" t="inlineStr">
        <is>
          <t>違反はお問い合わせから報告し、運営が確認のうえアカウント削除などを行う。グループ管理者はブラックリストで参加を拒否できる。画面上の通報ボタンの有無は未確認</t>
        </is>
      </c>
    </row>
    <row r="754">
      <c r="A754" s="16" t="inlineStr">
        <is>
          <t>connpass</t>
        </is>
      </c>
      <c r="B754" s="16" t="inlineStr">
        <is>
          <t>TS04</t>
        </is>
      </c>
      <c r="C754" s="16" t="inlineStr">
        <is>
          <t>ドタキャン対策</t>
        </is>
      </c>
      <c r="D754" s="13" t="inlineStr">
        <is>
          <t>✅</t>
        </is>
      </c>
      <c r="E754" s="16" t="inlineStr">
        <is>
          <t>公式</t>
        </is>
      </c>
      <c r="F754" s="17" t="inlineStr">
        <is>
          <t>https://help.connpass.com/organizers/paid-event-edit</t>
        </is>
      </c>
      <c r="G754" s="16" t="inlineStr">
        <is>
          <t>PayPalの前払い(申込時決済)に対応し、キャンセル・払い戻しの説明文入力が必須。抽選方式で辞退を減らす設計もある。欠席料はなし</t>
        </is>
      </c>
    </row>
    <row r="755">
      <c r="A755" s="16" t="inlineStr">
        <is>
          <t>connpass</t>
        </is>
      </c>
      <c r="B755" s="16" t="inlineStr">
        <is>
          <t>TS05</t>
        </is>
      </c>
      <c r="C755" s="16" t="inlineStr">
        <is>
          <t>参加者情報の保護</t>
        </is>
      </c>
      <c r="D755" s="13" t="inlineStr">
        <is>
          <t>△</t>
        </is>
      </c>
      <c r="E755" s="16" t="inlineStr">
        <is>
          <t>公式</t>
        </is>
      </c>
      <c r="F755" s="17" t="inlineStr">
        <is>
          <t>https://help.connpass.com/faq/event_organize</t>
        </is>
      </c>
      <c r="G755" s="16" t="inlineStr">
        <is>
          <t>参加者を非表示にする機能はなく名前は公開される。一方、参加者のメールアドレスは主催者にも非公開</t>
        </is>
      </c>
    </row>
    <row r="756">
      <c r="A756" s="16" t="inlineStr">
        <is>
          <t>connpass</t>
        </is>
      </c>
      <c r="B756" s="16" t="inlineStr">
        <is>
          <t>TS06</t>
        </is>
      </c>
      <c r="C756" s="16" t="inlineStr">
        <is>
          <t>直接取引の抑止</t>
        </is>
      </c>
      <c r="D756" s="13" t="inlineStr">
        <is>
          <t>❌</t>
        </is>
      </c>
      <c r="E756" s="16" t="inlineStr">
        <is>
          <t>公式</t>
        </is>
      </c>
      <c r="F756" s="17" t="inlineStr">
        <is>
          <t>https://help.connpass.com/organizers/event-detail</t>
        </is>
      </c>
      <c r="G756" s="16" t="inlineStr">
        <is>
          <t>参加受付を『connpassで行わない』設定と、参加費の会場払い(金額表示のみ)を選べる。外部誘導を抑える規約・仕組みは確認できず</t>
        </is>
      </c>
    </row>
    <row r="757">
      <c r="A757" s="16" t="inlineStr">
        <is>
          <t>connpass</t>
        </is>
      </c>
      <c r="B757" s="16" t="inlineStr">
        <is>
          <t>FD01</t>
        </is>
      </c>
      <c r="C757" s="16" t="inlineStr">
        <is>
          <t>メニューの事前注文・選択</t>
        </is>
      </c>
      <c r="D757" s="13" t="inlineStr">
        <is>
          <t>？</t>
        </is>
      </c>
      <c r="E757" s="16" t="inlineStr">
        <is>
          <t>なし</t>
        </is>
      </c>
      <c r="F757" s="16" t="inlineStr"/>
      <c r="G757" s="16" t="inlineStr">
        <is>
          <t>料理・ドリンクの選択機能は確認できなかった</t>
        </is>
      </c>
    </row>
    <row r="758">
      <c r="A758" s="16" t="inlineStr">
        <is>
          <t>connpass</t>
        </is>
      </c>
      <c r="B758" s="16" t="inlineStr">
        <is>
          <t>FD02</t>
        </is>
      </c>
      <c r="C758" s="16" t="inlineStr">
        <is>
          <t>アレルギー・食の好みの登録</t>
        </is>
      </c>
      <c r="D758" s="13" t="inlineStr">
        <is>
          <t>△</t>
        </is>
      </c>
      <c r="E758" s="16" t="inlineStr">
        <is>
          <t>公式</t>
        </is>
      </c>
      <c r="F758" s="17" t="inlineStr">
        <is>
          <t>https://help.connpass.com/organizers/event-form</t>
        </is>
      </c>
      <c r="G758" s="16" t="inlineStr">
        <is>
          <t>専用機能はない。アンケートで食の好み・アレルギーを質問して主催者が確認する運用は可能(解釈)</t>
        </is>
      </c>
    </row>
    <row r="759">
      <c r="A759" s="16" t="inlineStr">
        <is>
          <t>connpass</t>
        </is>
      </c>
      <c r="B759" s="16" t="inlineStr">
        <is>
          <t>FD03</t>
        </is>
      </c>
      <c r="C759" s="16" t="inlineStr">
        <is>
          <t>店舗向け管理画面</t>
        </is>
      </c>
      <c r="D759" s="13" t="inlineStr">
        <is>
          <t>？</t>
        </is>
      </c>
      <c r="E759" s="16" t="inlineStr">
        <is>
          <t>なし</t>
        </is>
      </c>
      <c r="F759" s="16" t="inlineStr"/>
      <c r="G759" s="16" t="inlineStr">
        <is>
          <t>店舗向け管理画面は確認できなかった</t>
        </is>
      </c>
    </row>
    <row r="760">
      <c r="A760" s="16" t="inlineStr">
        <is>
          <t>connpass</t>
        </is>
      </c>
      <c r="B760" s="16" t="inlineStr">
        <is>
          <t>FD04</t>
        </is>
      </c>
      <c r="C760" s="16" t="inlineStr">
        <is>
          <t>人数確定の店舗通知・集計</t>
        </is>
      </c>
      <c r="D760" s="13" t="inlineStr">
        <is>
          <t>？</t>
        </is>
      </c>
      <c r="E760" s="16" t="inlineStr">
        <is>
          <t>なし</t>
        </is>
      </c>
      <c r="F760" s="16" t="inlineStr"/>
      <c r="G760" s="16" t="inlineStr">
        <is>
          <t>人数・注文の店舗通知は確認できなかった</t>
        </is>
      </c>
    </row>
    <row r="761">
      <c r="A761" s="16" t="inlineStr">
        <is>
          <t>connpass</t>
        </is>
      </c>
      <c r="B761" s="16" t="inlineStr">
        <is>
          <t>FD05</t>
        </is>
      </c>
      <c r="C761" s="16" t="inlineStr">
        <is>
          <t>席の確保・貸切の連携</t>
        </is>
      </c>
      <c r="D761" s="13" t="inlineStr">
        <is>
          <t>？</t>
        </is>
      </c>
      <c r="E761" s="16" t="inlineStr">
        <is>
          <t>なし</t>
        </is>
      </c>
      <c r="F761" s="16" t="inlineStr"/>
      <c r="G761" s="16" t="inlineStr">
        <is>
          <t>席・貸切の確保連携は確認できなかった</t>
        </is>
      </c>
    </row>
    <row r="762">
      <c r="A762" s="16" t="inlineStr">
        <is>
          <t>connpass</t>
        </is>
      </c>
      <c r="B762" s="16" t="inlineStr">
        <is>
          <t>FD06</t>
        </is>
      </c>
      <c r="C762" s="16" t="inlineStr">
        <is>
          <t>コース・固定メニュー</t>
        </is>
      </c>
      <c r="D762" s="13" t="inlineStr">
        <is>
          <t>？</t>
        </is>
      </c>
      <c r="E762" s="16" t="inlineStr">
        <is>
          <t>なし</t>
        </is>
      </c>
      <c r="F762" s="16" t="inlineStr"/>
      <c r="G762" s="16" t="inlineStr">
        <is>
          <t>コース・固定メニューの選択は確認できなかった</t>
        </is>
      </c>
    </row>
    <row r="763">
      <c r="A763" s="16" t="inlineStr">
        <is>
          <t>connpass</t>
        </is>
      </c>
      <c r="B763" s="16" t="inlineStr">
        <is>
          <t>FD07</t>
        </is>
      </c>
      <c r="C763" s="16" t="inlineStr">
        <is>
          <t>割り勘・個別会計</t>
        </is>
      </c>
      <c r="D763" s="13" t="inlineStr">
        <is>
          <t>？</t>
        </is>
      </c>
      <c r="E763" s="16" t="inlineStr">
        <is>
          <t>なし</t>
        </is>
      </c>
      <c r="F763" s="16" t="inlineStr"/>
      <c r="G763" s="16" t="inlineStr">
        <is>
          <t>割り勘・個別会計は確認できなかった</t>
        </is>
      </c>
    </row>
    <row r="764">
      <c r="A764" s="16" t="inlineStr">
        <is>
          <t>connpass</t>
        </is>
      </c>
      <c r="B764" s="16" t="inlineStr">
        <is>
          <t>FD08</t>
        </is>
      </c>
      <c r="C764" s="16" t="inlineStr">
        <is>
          <t>店探し・店選び支援</t>
        </is>
      </c>
      <c r="D764" s="13" t="inlineStr">
        <is>
          <t>？</t>
        </is>
      </c>
      <c r="E764" s="16" t="inlineStr">
        <is>
          <t>なし</t>
        </is>
      </c>
      <c r="F764" s="16" t="inlineStr"/>
      <c r="G764" s="16" t="inlineStr">
        <is>
          <t>店探し支援は確認できなかった(会場名・住所・URLの登録とGoogleマップ表示のみ)</t>
        </is>
      </c>
    </row>
    <row r="765">
      <c r="A765" s="16" t="inlineStr">
        <is>
          <t>connpass</t>
        </is>
      </c>
      <c r="B765" s="16" t="inlineStr">
        <is>
          <t>FD09</t>
        </is>
      </c>
      <c r="C765" s="16" t="inlineStr">
        <is>
          <t>売り切れ・限定数の管理</t>
        </is>
      </c>
      <c r="D765" s="13" t="inlineStr">
        <is>
          <t>？</t>
        </is>
      </c>
      <c r="E765" s="16" t="inlineStr">
        <is>
          <t>なし</t>
        </is>
      </c>
      <c r="F765" s="16" t="inlineStr"/>
      <c r="G765" s="16" t="inlineStr">
        <is>
          <t>売り切れ・限定数の管理(メニュー単位)は確認できなかった</t>
        </is>
      </c>
    </row>
    <row r="766">
      <c r="A766" s="16" t="inlineStr">
        <is>
          <t>connpass</t>
        </is>
      </c>
      <c r="B766" s="16" t="inlineStr">
        <is>
          <t>FD10</t>
        </is>
      </c>
      <c r="C766" s="16" t="inlineStr">
        <is>
          <t>提供形態の選択</t>
        </is>
      </c>
      <c r="D766" s="13" t="inlineStr">
        <is>
          <t>？</t>
        </is>
      </c>
      <c r="E766" s="16" t="inlineStr">
        <is>
          <t>なし</t>
        </is>
      </c>
      <c r="F766" s="16" t="inlineStr"/>
      <c r="G766" s="16" t="inlineStr">
        <is>
          <t>提供形態(イートイン・テイクアウト等)の選択は確認できなかった</t>
        </is>
      </c>
    </row>
    <row r="767">
      <c r="A767" s="16" t="inlineStr">
        <is>
          <t>connpass</t>
        </is>
      </c>
      <c r="B767" s="16" t="inlineStr">
        <is>
          <t>MN01</t>
        </is>
      </c>
      <c r="C767" s="16" t="inlineStr">
        <is>
          <t>手数料の明示</t>
        </is>
      </c>
      <c r="D767" s="13" t="inlineStr">
        <is>
          <t>✅</t>
        </is>
      </c>
      <c r="E767" s="16" t="inlineStr">
        <is>
          <t>公式</t>
        </is>
      </c>
      <c r="F767" s="17" t="inlineStr">
        <is>
          <t>https://help.connpass.com/organizers/paid-event-edit</t>
        </is>
      </c>
      <c r="G767" s="16" t="inlineStr">
        <is>
          <t>connpassの手数料は0円でPayPal手数料のみ(通常3.6%+40円)と明記し、事前決済の手数料は業界最安値と訴求している</t>
        </is>
      </c>
    </row>
    <row r="768">
      <c r="A768" s="16" t="inlineStr">
        <is>
          <t>connpass</t>
        </is>
      </c>
      <c r="B768" s="16" t="inlineStr">
        <is>
          <t>MN02</t>
        </is>
      </c>
      <c r="C768" s="16" t="inlineStr">
        <is>
          <t>主催者向け有料プラン</t>
        </is>
      </c>
      <c r="D768" s="13" t="inlineStr">
        <is>
          <t>△</t>
        </is>
      </c>
      <c r="E768" s="16" t="inlineStr">
        <is>
          <t>公式</t>
        </is>
      </c>
      <c r="F768" s="17" t="inlineStr">
        <is>
          <t>https://help.connpass.com/announcements/info/20260805</t>
        </is>
      </c>
      <c r="G768" s="16" t="inlineStr">
        <is>
          <t>2026-11提供開始予定でフリー(グループメッセージ月7,000通)・コミュニティ(月20,000通・GA4 1グループ)・スタンダード(無制限・GA4 3グループ)の3段階。料金・開始日は未発表で、現時点は全機能無料</t>
        </is>
      </c>
    </row>
    <row r="769">
      <c r="A769" s="16" t="inlineStr">
        <is>
          <t>connpass</t>
        </is>
      </c>
      <c r="B769" s="16" t="inlineStr">
        <is>
          <t>MN03</t>
        </is>
      </c>
      <c r="C769" s="16" t="inlineStr">
        <is>
          <t>任意チップ・寄付</t>
        </is>
      </c>
      <c r="D769" s="13" t="inlineStr">
        <is>
          <t>？</t>
        </is>
      </c>
      <c r="E769" s="16" t="inlineStr">
        <is>
          <t>なし</t>
        </is>
      </c>
      <c r="F769" s="16" t="inlineStr"/>
      <c r="G769" s="16" t="inlineStr">
        <is>
          <t>任意のチップ・寄付は確認できなかった</t>
        </is>
      </c>
    </row>
    <row r="770">
      <c r="A770" s="16" t="inlineStr">
        <is>
          <t>connpass</t>
        </is>
      </c>
      <c r="B770" s="16" t="inlineStr">
        <is>
          <t>MN04</t>
        </is>
      </c>
      <c r="C770" s="16" t="inlineStr">
        <is>
          <t>クーポン・割引コード</t>
        </is>
      </c>
      <c r="D770" s="13" t="inlineStr">
        <is>
          <t>△</t>
        </is>
      </c>
      <c r="E770" s="16" t="inlineStr">
        <is>
          <t>公式</t>
        </is>
      </c>
      <c r="F770" s="17" t="inlineStr">
        <is>
          <t>https://help.connpass.com/organizers/voucher</t>
        </is>
      </c>
      <c r="G770" s="16" t="inlineStr">
        <is>
          <t>バウチャーコード(有料枠の参加費を無料にするコード)のみ。割引率の指定・早割・クーポンは確認できず</t>
        </is>
      </c>
    </row>
    <row r="771">
      <c r="A771" s="16" t="inlineStr">
        <is>
          <t>connpass</t>
        </is>
      </c>
      <c r="B771" s="16" t="inlineStr">
        <is>
          <t>MN05</t>
        </is>
      </c>
      <c r="C771" s="16" t="inlineStr">
        <is>
          <t>ポイント・会員特典</t>
        </is>
      </c>
      <c r="D771" s="13" t="inlineStr">
        <is>
          <t>？</t>
        </is>
      </c>
      <c r="E771" s="16" t="inlineStr">
        <is>
          <t>なし</t>
        </is>
      </c>
      <c r="F771" s="16" t="inlineStr"/>
      <c r="G771" s="16" t="inlineStr">
        <is>
          <t>ポイント・会員特典は確認できなかった</t>
        </is>
      </c>
    </row>
    <row r="772">
      <c r="A772" s="16" t="inlineStr">
        <is>
          <t>こくちーず</t>
        </is>
      </c>
      <c r="B772" s="16" t="inlineStr">
        <is>
          <t>DS01</t>
        </is>
      </c>
      <c r="C772" s="16" t="inlineStr">
        <is>
          <t>キーワード・カテゴリ検索</t>
        </is>
      </c>
      <c r="D772" s="13" t="inlineStr">
        <is>
          <t>✅</t>
        </is>
      </c>
      <c r="E772" s="16" t="inlineStr">
        <is>
          <t>公式</t>
        </is>
      </c>
      <c r="F772" s="17" t="inlineStr">
        <is>
          <t>https://www.kokuchpro.com/s/?q=%E9%A3%9F%E4%BA%8B%E4%BC%9A</t>
        </is>
      </c>
      <c r="G772" s="16" t="inlineStr">
        <is>
          <t>キーワード・ジャンル(37ジャンル)・タグで検索できる</t>
        </is>
      </c>
    </row>
    <row r="773">
      <c r="A773" s="16" t="inlineStr">
        <is>
          <t>こくちーず</t>
        </is>
      </c>
      <c r="B773" s="16" t="inlineStr">
        <is>
          <t>DS02</t>
        </is>
      </c>
      <c r="C773" s="16" t="inlineStr">
        <is>
          <t>地域・地図検索</t>
        </is>
      </c>
      <c r="D773" s="13" t="inlineStr">
        <is>
          <t>△</t>
        </is>
      </c>
      <c r="E773" s="16" t="inlineStr">
        <is>
          <t>公式</t>
        </is>
      </c>
      <c r="F773" s="17" t="inlineStr">
        <is>
          <t>https://www.kokuchpro.com/s/?q=%E9%A3%9F%E4%BA%8B%E4%BC%9A</t>
        </is>
      </c>
      <c r="G773" s="16" t="inlineStr">
        <is>
          <t>全国・地方・都道府県と開催形態(オフライン・オンライン・オンデマンド)で絞り込み。駅・現在地・地図での検索は確認できず</t>
        </is>
      </c>
    </row>
    <row r="774">
      <c r="A774" s="16" t="inlineStr">
        <is>
          <t>こくちーず</t>
        </is>
      </c>
      <c r="B774" s="16" t="inlineStr">
        <is>
          <t>DS03</t>
        </is>
      </c>
      <c r="C774" s="16" t="inlineStr">
        <is>
          <t>日付・価格等の絞り込み</t>
        </is>
      </c>
      <c r="D774" s="13" t="inlineStr">
        <is>
          <t>✅</t>
        </is>
      </c>
      <c r="E774" s="16" t="inlineStr">
        <is>
          <t>公式</t>
        </is>
      </c>
      <c r="F774" s="17" t="inlineStr">
        <is>
          <t>https://www.kokuchpro.com/s/?q=%E9%A3%9F%E4%BA%8B%E4%BC%9A</t>
        </is>
      </c>
      <c r="G774" s="16" t="inlineStr">
        <is>
          <t>開催期間・今日/明日/今週などのクイック指定・無料/有料・形態・レビュー評価・募集中のみで絞り込める。価格帯の範囲指定は確認できず</t>
        </is>
      </c>
    </row>
    <row r="775">
      <c r="A775" s="16" t="inlineStr">
        <is>
          <t>こくちーず</t>
        </is>
      </c>
      <c r="B775" s="16" t="inlineStr">
        <is>
          <t>DS04</t>
        </is>
      </c>
      <c r="C775" s="16" t="inlineStr">
        <is>
          <t>パーソナライズ推薦</t>
        </is>
      </c>
      <c r="D775" s="13" t="inlineStr">
        <is>
          <t>△</t>
        </is>
      </c>
      <c r="E775" s="16" t="inlineStr">
        <is>
          <t>公式</t>
        </is>
      </c>
      <c r="F775" s="17" t="inlineStr">
        <is>
          <t>https://www.kokuchpro.com/pages/functions/</t>
        </is>
      </c>
      <c r="G775" s="16" t="inlineStr">
        <is>
          <t>選んだジャンル・エリアのおすすめイベントメールと、イベントページの関連イベント欄がある。閲覧履歴ベースの推薦フィードは確認できず</t>
        </is>
      </c>
    </row>
    <row r="776">
      <c r="A776" s="16" t="inlineStr">
        <is>
          <t>こくちーず</t>
        </is>
      </c>
      <c r="B776" s="16" t="inlineStr">
        <is>
          <t>DS05</t>
        </is>
      </c>
      <c r="C776" s="16" t="inlineStr">
        <is>
          <t>フォロー</t>
        </is>
      </c>
      <c r="D776" s="13" t="inlineStr">
        <is>
          <t>△</t>
        </is>
      </c>
      <c r="E776" s="16" t="inlineStr">
        <is>
          <t>公式</t>
        </is>
      </c>
      <c r="F776" s="17" t="inlineStr">
        <is>
          <t>https://www.kokuchpro.com/pages/about/</t>
        </is>
      </c>
      <c r="G776" s="16" t="inlineStr">
        <is>
          <t>グループのメンバーになるとお知らせを受け取れる。フォロー機能そのものは確認できず(グループページにメンバー参加ボタンも確認できず)</t>
        </is>
      </c>
    </row>
    <row r="777">
      <c r="A777" s="16" t="inlineStr">
        <is>
          <t>こくちーず</t>
        </is>
      </c>
      <c r="B777" s="16" t="inlineStr">
        <is>
          <t>DS06</t>
        </is>
      </c>
      <c r="C777" s="16" t="inlineStr">
        <is>
          <t>ブックマーク・ウィッシュリスト</t>
        </is>
      </c>
      <c r="D777" s="13" t="inlineStr">
        <is>
          <t>✅</t>
        </is>
      </c>
      <c r="E777" s="16" t="inlineStr">
        <is>
          <t>公式</t>
        </is>
      </c>
      <c r="F777" s="17" t="inlineStr">
        <is>
          <t>https://www.kokuchpro.com/pages/functions/</t>
        </is>
      </c>
      <c r="G777" s="16" t="inlineStr">
        <is>
          <t>『興味ありリスト(お気に入り)』に保存して後から申込できる</t>
        </is>
      </c>
    </row>
    <row r="778">
      <c r="A778" s="16" t="inlineStr">
        <is>
          <t>こくちーず</t>
        </is>
      </c>
      <c r="B778" s="16" t="inlineStr">
        <is>
          <t>DS07</t>
        </is>
      </c>
      <c r="C778" s="16" t="inlineStr">
        <is>
          <t>公開ディレクトリ・都市×カテゴリページ</t>
        </is>
      </c>
      <c r="D778" s="13" t="inlineStr">
        <is>
          <t>✅</t>
        </is>
      </c>
      <c r="E778" s="16" t="inlineStr">
        <is>
          <t>公式</t>
        </is>
      </c>
      <c r="F778" s="17" t="inlineStr">
        <is>
          <t>https://www.kokuchpro.com/</t>
        </is>
      </c>
      <c r="G778" s="16" t="inlineStr">
        <is>
          <t>ジャンル・都道府県・日付・形態ごとの固定URL一覧(/s/g-1/、/s/area-東京都/ など)があり、SEO最適化を謳う。グロース根拠あり(『SEOに強い』は自社主張で第三者検証なし)</t>
        </is>
      </c>
    </row>
    <row r="779">
      <c r="A779" s="16" t="inlineStr">
        <is>
          <t>こくちーず</t>
        </is>
      </c>
      <c r="B779" s="16" t="inlineStr">
        <is>
          <t>DS08</t>
        </is>
      </c>
      <c r="C779" s="16" t="inlineStr">
        <is>
          <t>キュレーション・特集</t>
        </is>
      </c>
      <c r="D779" s="13" t="inlineStr">
        <is>
          <t>✅</t>
        </is>
      </c>
      <c r="E779" s="16" t="inlineStr">
        <is>
          <t>公式</t>
        </is>
      </c>
      <c r="F779" s="17" t="inlineStr">
        <is>
          <t>https://www.kokuchpro.com/</t>
        </is>
      </c>
      <c r="G779" s="16" t="inlineStr">
        <is>
          <t>おすすめイベント特集(約24種)、人気・注目・SNSで話題のランキング、ピックアップグループ、注目バッジがある</t>
        </is>
      </c>
    </row>
    <row r="780">
      <c r="A780" s="16" t="inlineStr">
        <is>
          <t>こくちーず</t>
        </is>
      </c>
      <c r="B780" s="16" t="inlineStr">
        <is>
          <t>JN01</t>
        </is>
      </c>
      <c r="C780" s="16" t="inlineStr">
        <is>
          <t>アカウント不要の申込</t>
        </is>
      </c>
      <c r="D780" s="13" t="inlineStr">
        <is>
          <t>❌</t>
        </is>
      </c>
      <c r="E780" s="16" t="inlineStr">
        <is>
          <t>公式</t>
        </is>
      </c>
      <c r="F780" s="17" t="inlineStr">
        <is>
          <t>https://www.kokuchpro.com/group/organizers/news/</t>
        </is>
      </c>
      <c r="G780" s="16" t="inlineStr">
        <is>
          <t>2023-04-01以降に登録したイベントは申込に会員登録が必須(2023-03-20告知)。それ以前のイベントは非会員申込が残る。機能一覧に旧記載『非会員の申込』があり食い違う</t>
        </is>
      </c>
    </row>
    <row r="781">
      <c r="A781" s="16" t="inlineStr">
        <is>
          <t>こくちーず</t>
        </is>
      </c>
      <c r="B781" s="16" t="inlineStr">
        <is>
          <t>JN02</t>
        </is>
      </c>
      <c r="C781" s="16" t="inlineStr">
        <is>
          <t>簡易ログイン</t>
        </is>
      </c>
      <c r="D781" s="13" t="inlineStr">
        <is>
          <t>✅</t>
        </is>
      </c>
      <c r="E781" s="16" t="inlineStr">
        <is>
          <t>公式</t>
        </is>
      </c>
      <c r="F781" s="17" t="inlineStr">
        <is>
          <t>https://www.kokuchpro.com/event/20261102/</t>
        </is>
      </c>
      <c r="G781" s="16" t="inlineStr">
        <is>
          <t>申込ボタンに『Facebookログインして申込』がある(2026-10時点のイベントページ)。2段階認証(アプリ)も設定可。他のSNSログインは確認できず</t>
        </is>
      </c>
    </row>
    <row r="782">
      <c r="A782" s="16" t="inlineStr">
        <is>
          <t>こくちーず</t>
        </is>
      </c>
      <c r="B782" s="16" t="inlineStr">
        <is>
          <t>JN03</t>
        </is>
      </c>
      <c r="C782" s="16" t="inlineStr">
        <is>
          <t>承認制・参加申請</t>
        </is>
      </c>
      <c r="D782" s="13" t="inlineStr">
        <is>
          <t>△</t>
        </is>
      </c>
      <c r="E782" s="16" t="inlineStr">
        <is>
          <t>公式</t>
        </is>
      </c>
      <c r="F782" s="17" t="inlineStr">
        <is>
          <t>https://blog.kokuchpro.com/post/667607979241111552/2022%E5%B9%B4%E7%89%88%E3%82%AA%E3%83%AA%E3%82%B8%E3%83%8A%E3%83%AB%E5%8D%93%E4%B8%8A%E3%82%AB%E3%83%AC%E3%83%B3%E3%83%80%E3%83%BC%E3%83%97%E3%83%AC%E3%82%BC%E3%83%B3%E3%83%88%E3%82%AD%E3%83%A3%E3%83%B3%E3%83%9A%E3%83%BC%E3%83%B3</t>
        </is>
      </c>
      <c r="G782" s="16" t="inlineStr">
        <is>
          <t>グループの参加を申請式にできる(2021)。イベント単位の承認制は確認できず。管理者による代行登録とパスワード制限はある</t>
        </is>
      </c>
    </row>
    <row r="783">
      <c r="A783" s="16" t="inlineStr">
        <is>
          <t>こくちーず</t>
        </is>
      </c>
      <c r="B783" s="16" t="inlineStr">
        <is>
          <t>JN04</t>
        </is>
      </c>
      <c r="C783" s="16" t="inlineStr">
        <is>
          <t>ウェイトリスト</t>
        </is>
      </c>
      <c r="D783" s="13" t="inlineStr">
        <is>
          <t>✅</t>
        </is>
      </c>
      <c r="E783" s="16" t="inlineStr">
        <is>
          <t>公式</t>
        </is>
      </c>
      <c r="F783" s="17" t="inlineStr">
        <is>
          <t>https://www.kokuchpro.com/pages/guide_participant/</t>
        </is>
      </c>
      <c r="G783" s="16" t="inlineStr">
        <is>
          <t>満席時はキャンセル待ちを受け付け、空きが出ると順に繰り上げる。事前決済は繰り上げ後に購入手続きが必要。2022-11時点の比較ページは『無料・PayPal決済時のみ』と記載(食い違い)</t>
        </is>
      </c>
    </row>
    <row r="784">
      <c r="A784" s="16" t="inlineStr">
        <is>
          <t>こくちーず</t>
        </is>
      </c>
      <c r="B784" s="16" t="inlineStr">
        <is>
          <t>JN05</t>
        </is>
      </c>
      <c r="C784" s="16" t="inlineStr">
        <is>
          <t>定員・残席の表示</t>
        </is>
      </c>
      <c r="D784" s="13" t="inlineStr">
        <is>
          <t>✅</t>
        </is>
      </c>
      <c r="E784" s="16" t="inlineStr">
        <is>
          <t>公式</t>
        </is>
      </c>
      <c r="F784" s="17" t="inlineStr">
        <is>
          <t>https://www.kokuchpro.com/event/20261102/</t>
        </is>
      </c>
      <c r="G784" s="16" t="inlineStr">
        <is>
          <t>申込数/定員(例: 68/300)と、募集中・残りわずか・受付終了の状態、残席を一覧と詳細に表示する</t>
        </is>
      </c>
    </row>
    <row r="785">
      <c r="A785" s="16" t="inlineStr">
        <is>
          <t>こくちーず</t>
        </is>
      </c>
      <c r="B785" s="16" t="inlineStr">
        <is>
          <t>JN06</t>
        </is>
      </c>
      <c r="C785" s="16" t="inlineStr">
        <is>
          <t>追加質問・同行者の入力</t>
        </is>
      </c>
      <c r="D785" s="13" t="inlineStr">
        <is>
          <t>✅</t>
        </is>
      </c>
      <c r="E785" s="16" t="inlineStr">
        <is>
          <t>公式</t>
        </is>
      </c>
      <c r="F785" s="17" t="inlineStr">
        <is>
          <t>https://www.kokuchpro.com/pages/functions/</t>
        </is>
      </c>
      <c r="G785" s="16" t="inlineStr">
        <is>
          <t>参加者アンケート(自由設計の質問)と、代表者が複数人分をまとめて申し込める複数人申込がある</t>
        </is>
      </c>
    </row>
    <row r="786">
      <c r="A786" s="16" t="inlineStr">
        <is>
          <t>こくちーず</t>
        </is>
      </c>
      <c r="B786" s="16" t="inlineStr">
        <is>
          <t>JN07</t>
        </is>
      </c>
      <c r="C786" s="16" t="inlineStr">
        <is>
          <t>参加者のセルフキャンセル</t>
        </is>
      </c>
      <c r="D786" s="13" t="inlineStr">
        <is>
          <t>✅</t>
        </is>
      </c>
      <c r="E786" s="16" t="inlineStr">
        <is>
          <t>公式</t>
        </is>
      </c>
      <c r="F786" s="17" t="inlineStr">
        <is>
          <t>https://www.kokuchpro.com/pages/functions/</t>
        </is>
      </c>
      <c r="G786" s="16" t="inlineStr">
        <is>
          <t>参加者がキャンセルでき、受付期限も設定できる。返金可否と額は主催者判断(クレジットカードの支払後30日未満は返金手数料なし)</t>
        </is>
      </c>
    </row>
    <row r="787">
      <c r="A787" s="16" t="inlineStr">
        <is>
          <t>こくちーず</t>
        </is>
      </c>
      <c r="B787" s="16" t="inlineStr">
        <is>
          <t>JN08</t>
        </is>
      </c>
      <c r="C787" s="16" t="inlineStr">
        <is>
          <t>カレンダー追加</t>
        </is>
      </c>
      <c r="D787" s="13" t="inlineStr">
        <is>
          <t>✅</t>
        </is>
      </c>
      <c r="E787" s="16" t="inlineStr">
        <is>
          <t>公式</t>
        </is>
      </c>
      <c r="F787" s="17" t="inlineStr">
        <is>
          <t>https://www.kokuchpro.com/event/20261102/</t>
        </is>
      </c>
      <c r="G787" s="16" t="inlineStr">
        <is>
          <t>Googleカレンダー追加と.icsダウンロードがある(2019-10追加)</t>
        </is>
      </c>
    </row>
    <row r="788">
      <c r="A788" s="16" t="inlineStr">
        <is>
          <t>こくちーず</t>
        </is>
      </c>
      <c r="B788" s="16" t="inlineStr">
        <is>
          <t>JN09</t>
        </is>
      </c>
      <c r="C788" s="16" t="inlineStr">
        <is>
          <t>開催前リマインド</t>
        </is>
      </c>
      <c r="D788" s="13" t="inlineStr">
        <is>
          <t>△</t>
        </is>
      </c>
      <c r="E788" s="16" t="inlineStr">
        <is>
          <t>公式</t>
        </is>
      </c>
      <c r="F788" s="17" t="inlineStr">
        <is>
          <t>https://www.kokuchpro.com/pages/guide/</t>
        </is>
      </c>
      <c r="G788" s="16" t="inlineStr">
        <is>
          <t>主催者がメール配信でリマインドを送る運用(一斉メール配信はプレミアム限定)。自動リマインドは確認できず</t>
        </is>
      </c>
    </row>
    <row r="789">
      <c r="A789" s="16" t="inlineStr">
        <is>
          <t>こくちーず</t>
        </is>
      </c>
      <c r="B789" s="16" t="inlineStr">
        <is>
          <t>JN10</t>
        </is>
      </c>
      <c r="C789" s="16" t="inlineStr">
        <is>
          <t>QRチケット・当日受付</t>
        </is>
      </c>
      <c r="D789" s="13" t="inlineStr">
        <is>
          <t>△</t>
        </is>
      </c>
      <c r="E789" s="16" t="inlineStr">
        <is>
          <t>公式</t>
        </is>
      </c>
      <c r="F789" s="17" t="inlineStr">
        <is>
          <t>https://www.kokuchpro.com/pages/premium/</t>
        </is>
      </c>
      <c r="G789" s="16" t="inlineStr">
        <is>
          <t>プレミアム会員は受付用QRコードのセルフチェックインを使える。チケット印刷と出欠管理は無料。QRチケットの標準提供は確認できず</t>
        </is>
      </c>
    </row>
    <row r="790">
      <c r="A790" s="16" t="inlineStr">
        <is>
          <t>こくちーず</t>
        </is>
      </c>
      <c r="B790" s="16" t="inlineStr">
        <is>
          <t>JN11</t>
        </is>
      </c>
      <c r="C790" s="16" t="inlineStr">
        <is>
          <t>参加者一覧の閲覧</t>
        </is>
      </c>
      <c r="D790" s="13" t="inlineStr">
        <is>
          <t>？</t>
        </is>
      </c>
      <c r="E790" s="16" t="inlineStr">
        <is>
          <t>なし</t>
        </is>
      </c>
      <c r="F790" s="16" t="inlineStr"/>
      <c r="G790" s="16" t="inlineStr">
        <is>
          <t>イベントページは申込数/定員の表示のみ確認した。参加者名簿の公開有無は未確認</t>
        </is>
      </c>
    </row>
    <row r="791">
      <c r="A791" s="16" t="inlineStr">
        <is>
          <t>こくちーず</t>
        </is>
      </c>
      <c r="B791" s="16" t="inlineStr">
        <is>
          <t>JN12</t>
        </is>
      </c>
      <c r="C791" s="16" t="inlineStr">
        <is>
          <t>イベント後の体験</t>
        </is>
      </c>
      <c r="D791" s="13" t="inlineStr">
        <is>
          <t>✅</t>
        </is>
      </c>
      <c r="E791" s="16" t="inlineStr">
        <is>
          <t>公式</t>
        </is>
      </c>
      <c r="F791" s="17" t="inlineStr">
        <is>
          <t>https://www.kokuchpro.com/pages/functions/</t>
        </is>
      </c>
      <c r="G791" s="16" t="inlineStr">
        <is>
          <t>参加者レビューの投稿(2021〜)、フォトアルバム、イベントレポート、発表資料、サンクスメール(推奨)がある</t>
        </is>
      </c>
    </row>
    <row r="792">
      <c r="A792" s="16" t="inlineStr">
        <is>
          <t>こくちーず</t>
        </is>
      </c>
      <c r="B792" s="16" t="inlineStr">
        <is>
          <t>SH01</t>
        </is>
      </c>
      <c r="C792" s="16" t="inlineStr">
        <is>
          <t>共有用URL・OGPカード</t>
        </is>
      </c>
      <c r="D792" s="13" t="inlineStr">
        <is>
          <t>？</t>
        </is>
      </c>
      <c r="E792" s="16" t="inlineStr">
        <is>
          <t>なし</t>
        </is>
      </c>
      <c r="F792" s="16" t="inlineStr"/>
      <c r="G792" s="16" t="inlineStr">
        <is>
          <t>OGPカード表示の仕様は確認できなかった(カスタムURLの設定はある)</t>
        </is>
      </c>
    </row>
    <row r="793">
      <c r="A793" s="16" t="inlineStr">
        <is>
          <t>こくちーず</t>
        </is>
      </c>
      <c r="B793" s="16" t="inlineStr">
        <is>
          <t>SH02</t>
        </is>
      </c>
      <c r="C793" s="16" t="inlineStr">
        <is>
          <t>SNS・メッセージ共有ボタン</t>
        </is>
      </c>
      <c r="D793" s="13" t="inlineStr">
        <is>
          <t>？</t>
        </is>
      </c>
      <c r="E793" s="16" t="inlineStr">
        <is>
          <t>なし</t>
        </is>
      </c>
      <c r="F793" s="16" t="inlineStr"/>
      <c r="G793" s="16" t="inlineStr">
        <is>
          <t>取得したイベント・グループページのテキストにSNS共有ボタンの記載がなかった(スクリプト描画の可能性があり断定できない)。グループページはXのハッシュタグ検索リンクのみ</t>
        </is>
      </c>
    </row>
    <row r="794">
      <c r="A794" s="16" t="inlineStr">
        <is>
          <t>こくちーず</t>
        </is>
      </c>
      <c r="B794" s="16" t="inlineStr">
        <is>
          <t>SH03</t>
        </is>
      </c>
      <c r="C794" s="16" t="inlineStr">
        <is>
          <t>友人・同行者の招待導線</t>
        </is>
      </c>
      <c r="D794" s="13" t="inlineStr">
        <is>
          <t>？</t>
        </is>
      </c>
      <c r="E794" s="16" t="inlineStr">
        <is>
          <t>なし</t>
        </is>
      </c>
      <c r="F794" s="16" t="inlineStr"/>
      <c r="G794" s="16" t="inlineStr">
        <is>
          <t>友人を招待する導線は確認できなかった</t>
        </is>
      </c>
    </row>
    <row r="795">
      <c r="A795" s="16" t="inlineStr">
        <is>
          <t>こくちーず</t>
        </is>
      </c>
      <c r="B795" s="16" t="inlineStr">
        <is>
          <t>SH04</t>
        </is>
      </c>
      <c r="C795" s="16" t="inlineStr">
        <is>
          <t>紹介リンク・紹介の可視化</t>
        </is>
      </c>
      <c r="D795" s="13" t="inlineStr">
        <is>
          <t>？</t>
        </is>
      </c>
      <c r="E795" s="16" t="inlineStr">
        <is>
          <t>なし</t>
        </is>
      </c>
      <c r="F795" s="16" t="inlineStr"/>
      <c r="G795" s="16" t="inlineStr">
        <is>
          <t>紹介リンク・紹介の可視化は確認できなかった</t>
        </is>
      </c>
    </row>
    <row r="796">
      <c r="A796" s="16" t="inlineStr">
        <is>
          <t>こくちーず</t>
        </is>
      </c>
      <c r="B796" s="16" t="inlineStr">
        <is>
          <t>SH05</t>
        </is>
      </c>
      <c r="C796" s="16" t="inlineStr">
        <is>
          <t>連絡先・SNS連携で友人発見</t>
        </is>
      </c>
      <c r="D796" s="13" t="inlineStr">
        <is>
          <t>？</t>
        </is>
      </c>
      <c r="E796" s="16" t="inlineStr">
        <is>
          <t>なし</t>
        </is>
      </c>
      <c r="F796" s="16" t="inlineStr"/>
      <c r="G796" s="16" t="inlineStr">
        <is>
          <t>Facebookログインはあるが、友人の発見・招待は確認できなかった</t>
        </is>
      </c>
    </row>
    <row r="797">
      <c r="A797" s="16" t="inlineStr">
        <is>
          <t>こくちーず</t>
        </is>
      </c>
      <c r="B797" s="16" t="inlineStr">
        <is>
          <t>SH06</t>
        </is>
      </c>
      <c r="C797" s="16" t="inlineStr">
        <is>
          <t>社会的証明の表示</t>
        </is>
      </c>
      <c r="D797" s="13" t="inlineStr">
        <is>
          <t>✅</t>
        </is>
      </c>
      <c r="E797" s="16" t="inlineStr">
        <is>
          <t>公式</t>
        </is>
      </c>
      <c r="F797" s="17" t="inlineStr">
        <is>
          <t>https://www.kokuchpro.com/event/20261102/</t>
        </is>
      </c>
      <c r="G797" s="16" t="inlineStr">
        <is>
          <t>申込数/定員、レビュー評価と件数、グループの開催イベント数、注目バッジを表示する</t>
        </is>
      </c>
    </row>
    <row r="798">
      <c r="A798" s="16" t="inlineStr">
        <is>
          <t>こくちーず</t>
        </is>
      </c>
      <c r="B798" s="16" t="inlineStr">
        <is>
          <t>SH07</t>
        </is>
      </c>
      <c r="C798" s="16" t="inlineStr">
        <is>
          <t>QR・短縮URL・チラシ生成</t>
        </is>
      </c>
      <c r="D798" s="13" t="inlineStr">
        <is>
          <t>△</t>
        </is>
      </c>
      <c r="E798" s="16" t="inlineStr">
        <is>
          <t>公式</t>
        </is>
      </c>
      <c r="F798" s="17" t="inlineStr">
        <is>
          <t>https://www.kokuchpro.com/group/kohaken/</t>
        </is>
      </c>
      <c r="G798" s="16" t="inlineStr">
        <is>
          <t>イベントページとグループページにURLのQRコードを表示する。チラシ・ポスター素材の生成と短縮URLは確認できず(URLのカスタマイズはある)</t>
        </is>
      </c>
    </row>
    <row r="799">
      <c r="A799" s="16" t="inlineStr">
        <is>
          <t>こくちーず</t>
        </is>
      </c>
      <c r="B799" s="16" t="inlineStr">
        <is>
          <t>SH08</t>
        </is>
      </c>
      <c r="C799" s="16" t="inlineStr">
        <is>
          <t>埋め込みウィジェット</t>
        </is>
      </c>
      <c r="D799" s="13" t="inlineStr">
        <is>
          <t>？</t>
        </is>
      </c>
      <c r="E799" s="16" t="inlineStr">
        <is>
          <t>なし</t>
        </is>
      </c>
      <c r="F799" s="16" t="inlineStr"/>
      <c r="G799" s="16" t="inlineStr">
        <is>
          <t>RSSフィード(新着・グループ・カレンダー)はあるが、埋め込みウィジェットは確認できなかった</t>
        </is>
      </c>
    </row>
    <row r="800">
      <c r="A800" s="16" t="inlineStr">
        <is>
          <t>こくちーず</t>
        </is>
      </c>
      <c r="B800" s="16" t="inlineStr">
        <is>
          <t>OP01</t>
        </is>
      </c>
      <c r="C800" s="16" t="inlineStr">
        <is>
          <t>簡単な作成</t>
        </is>
      </c>
      <c r="D800" s="13" t="inlineStr">
        <is>
          <t>✅</t>
        </is>
      </c>
      <c r="E800" s="16" t="inlineStr">
        <is>
          <t>公式</t>
        </is>
      </c>
      <c r="F800" s="17" t="inlineStr">
        <is>
          <t>https://www.kokuchpro.com/pages/about/</t>
        </is>
      </c>
      <c r="G800" s="16" t="inlineStr">
        <is>
          <t>会員登録だけで作成でき初期費用・月額なし。複製・WYSIWYGエディタ・スマホ管理もある。グロース根拠あり(登録のみで告知と申込ができる点が牽引機能とされるが因果は不明)</t>
        </is>
      </c>
    </row>
    <row r="801">
      <c r="A801" s="16" t="inlineStr">
        <is>
          <t>こくちーず</t>
        </is>
      </c>
      <c r="B801" s="16" t="inlineStr">
        <is>
          <t>OP02</t>
        </is>
      </c>
      <c r="C801" s="16" t="inlineStr">
        <is>
          <t>コピー・繰り返し作成</t>
        </is>
      </c>
      <c r="D801" s="13" t="inlineStr">
        <is>
          <t>✅</t>
        </is>
      </c>
      <c r="E801" s="16" t="inlineStr">
        <is>
          <t>公式</t>
        </is>
      </c>
      <c r="F801" s="17" t="inlineStr">
        <is>
          <t>https://www.kokuchpro.com/pages/functions/</t>
        </is>
      </c>
      <c r="G801" s="16" t="inlineStr">
        <is>
          <t>イベントの複製、複数日開催を1イベントで登録、開催日の追加で次回募集ができる</t>
        </is>
      </c>
    </row>
    <row r="802">
      <c r="A802" s="16" t="inlineStr">
        <is>
          <t>こくちーず</t>
        </is>
      </c>
      <c r="B802" s="16" t="inlineStr">
        <is>
          <t>OP03</t>
        </is>
      </c>
      <c r="C802" s="16" t="inlineStr">
        <is>
          <t>下書き・限定公開</t>
        </is>
      </c>
      <c r="D802" s="13" t="inlineStr">
        <is>
          <t>✅</t>
        </is>
      </c>
      <c r="E802" s="16" t="inlineStr">
        <is>
          <t>公式</t>
        </is>
      </c>
      <c r="F802" s="17" t="inlineStr">
        <is>
          <t>https://www.kokuchpro.com/pages/functions/</t>
        </is>
      </c>
      <c r="G802" s="16" t="inlineStr">
        <is>
          <t>非公開イベントの登録、パスワード制限、公開前のフォームプレビューがある。下書き専用の状態は確認できず</t>
        </is>
      </c>
    </row>
    <row r="803">
      <c r="A803" s="16" t="inlineStr">
        <is>
          <t>こくちーず</t>
        </is>
      </c>
      <c r="B803" s="16" t="inlineStr">
        <is>
          <t>OP04</t>
        </is>
      </c>
      <c r="C803" s="16" t="inlineStr">
        <is>
          <t>AI作成支援</t>
        </is>
      </c>
      <c r="D803" s="13" t="inlineStr">
        <is>
          <t>？</t>
        </is>
      </c>
      <c r="E803" s="16" t="inlineStr">
        <is>
          <t>なし</t>
        </is>
      </c>
      <c r="F803" s="16" t="inlineStr"/>
      <c r="G803" s="16" t="inlineStr">
        <is>
          <t>AI作成支援は公式ページ・ブログで確認できなかった</t>
        </is>
      </c>
    </row>
    <row r="804">
      <c r="A804" s="16" t="inlineStr">
        <is>
          <t>こくちーず</t>
        </is>
      </c>
      <c r="B804" s="16" t="inlineStr">
        <is>
          <t>OP05</t>
        </is>
      </c>
      <c r="C804" s="16" t="inlineStr">
        <is>
          <t>共同主催・運営メンバー権限</t>
        </is>
      </c>
      <c r="D804" s="13" t="inlineStr">
        <is>
          <t>△</t>
        </is>
      </c>
      <c r="E804" s="16" t="inlineStr">
        <is>
          <t>公式</t>
        </is>
      </c>
      <c r="F804" s="17" t="inlineStr">
        <is>
          <t>https://www.kokuchpro.com/pages/functions/</t>
        </is>
      </c>
      <c r="G804" s="16" t="inlineStr">
        <is>
          <t>イベントスタッフ(複数の管理者)を追加できる。権限の段階分けは確認できず</t>
        </is>
      </c>
    </row>
    <row r="805">
      <c r="A805" s="16" t="inlineStr">
        <is>
          <t>こくちーず</t>
        </is>
      </c>
      <c r="B805" s="16" t="inlineStr">
        <is>
          <t>OP06</t>
        </is>
      </c>
      <c r="C805" s="16" t="inlineStr">
        <is>
          <t>参加者管理・名簿出力</t>
        </is>
      </c>
      <c r="D805" s="13" t="inlineStr">
        <is>
          <t>✅</t>
        </is>
      </c>
      <c r="E805" s="16" t="inlineStr">
        <is>
          <t>公式</t>
        </is>
      </c>
      <c r="F805" s="17" t="inlineStr">
        <is>
          <t>https://www.kokuchpro.com/pages/functions/</t>
        </is>
      </c>
      <c r="G805" s="16" t="inlineStr">
        <is>
          <t>参加者管理画面と名簿のCSVダウンロード(アンケート回答・出欠を含む)がある</t>
        </is>
      </c>
    </row>
    <row r="806">
      <c r="A806" s="16" t="inlineStr">
        <is>
          <t>こくちーず</t>
        </is>
      </c>
      <c r="B806" s="16" t="inlineStr">
        <is>
          <t>OP07</t>
        </is>
      </c>
      <c r="C806" s="16" t="inlineStr">
        <is>
          <t>一斉メッセージ</t>
        </is>
      </c>
      <c r="D806" s="13" t="inlineStr">
        <is>
          <t>△</t>
        </is>
      </c>
      <c r="E806" s="16" t="inlineStr">
        <is>
          <t>公式</t>
        </is>
      </c>
      <c r="F806" s="17" t="inlineStr">
        <is>
          <t>https://www.kokuchpro.com/pages/premium/</t>
        </is>
      </c>
      <c r="G806" s="16" t="inlineStr">
        <is>
          <t>一斉メール配信はプレミアム会員(月額1000円)限定。無料はイベントのお知らせ掲示と個別メッセージ。2020-06にプレミアムの送信上限を拡大との告知あり</t>
        </is>
      </c>
    </row>
    <row r="807">
      <c r="A807" s="16" t="inlineStr">
        <is>
          <t>こくちーず</t>
        </is>
      </c>
      <c r="B807" s="16" t="inlineStr">
        <is>
          <t>OP08</t>
        </is>
      </c>
      <c r="C807" s="16" t="inlineStr">
        <is>
          <t>当日運営ツール</t>
        </is>
      </c>
      <c r="D807" s="13" t="inlineStr">
        <is>
          <t>✅</t>
        </is>
      </c>
      <c r="E807" s="16" t="inlineStr">
        <is>
          <t>公式</t>
        </is>
      </c>
      <c r="F807" s="17" t="inlineStr">
        <is>
          <t>https://www.kokuchpro.com/pages/functions/</t>
        </is>
      </c>
      <c r="G807" s="16" t="inlineStr">
        <is>
          <t>管理画面で出欠管理・出欠付き名簿とチケット印刷ができる。セルフチェックイン(QR)はプレミアム限定</t>
        </is>
      </c>
    </row>
    <row r="808">
      <c r="A808" s="16" t="inlineStr">
        <is>
          <t>こくちーず</t>
        </is>
      </c>
      <c r="B808" s="16" t="inlineStr">
        <is>
          <t>OP09</t>
        </is>
      </c>
      <c r="C808" s="16" t="inlineStr">
        <is>
          <t>売上・入金管理</t>
        </is>
      </c>
      <c r="D808" s="13" t="inlineStr">
        <is>
          <t>△</t>
        </is>
      </c>
      <c r="E808" s="16" t="inlineStr">
        <is>
          <t>公式</t>
        </is>
      </c>
      <c r="F808" s="17" t="inlineStr">
        <is>
          <t>https://www.kokuchpro.com/pages/prices/</t>
        </is>
      </c>
      <c r="G808" s="16" t="inlineStr">
        <is>
          <t>こくちーず決済は原則10営業日以内に振込(販売手数料と振込手数料210円を控除)し販売明細書を確認できる。入金管理画面はプレミアムまたはゴールドのみ</t>
        </is>
      </c>
    </row>
    <row r="809">
      <c r="A809" s="16" t="inlineStr">
        <is>
          <t>こくちーず</t>
        </is>
      </c>
      <c r="B809" s="16" t="inlineStr">
        <is>
          <t>OP10</t>
        </is>
      </c>
      <c r="C809" s="16" t="inlineStr">
        <is>
          <t>流入・申込の分析</t>
        </is>
      </c>
      <c r="D809" s="13" t="inlineStr">
        <is>
          <t>△</t>
        </is>
      </c>
      <c r="E809" s="16" t="inlineStr">
        <is>
          <t>公式</t>
        </is>
      </c>
      <c r="F809" s="17" t="inlineStr">
        <is>
          <t>https://www.kokuchpro.com/pages/gradeup/</t>
        </is>
      </c>
      <c r="G809" s="16" t="inlineStr">
        <is>
          <t>アクセス解析・申込数分析はプレミアム会員またはシルバー/ゴールドの有料。Google Analytics連携は無料。流入元・UTMの詳細は確認できず</t>
        </is>
      </c>
    </row>
    <row r="810">
      <c r="A810" s="16" t="inlineStr">
        <is>
          <t>こくちーず</t>
        </is>
      </c>
      <c r="B810" s="16" t="inlineStr">
        <is>
          <t>OP11</t>
        </is>
      </c>
      <c r="C810" s="16" t="inlineStr">
        <is>
          <t>主催者ページ・グループページ</t>
        </is>
      </c>
      <c r="D810" s="13" t="inlineStr">
        <is>
          <t>✅</t>
        </is>
      </c>
      <c r="E810" s="16" t="inlineStr">
        <is>
          <t>公式</t>
        </is>
      </c>
      <c r="F810" s="17" t="inlineStr">
        <is>
          <t>https://www.kokuchpro.com/group/kohaken/</t>
        </is>
      </c>
      <c r="G810" s="16" t="inlineStr">
        <is>
          <t>グループページ(募集中・終了イベント、レビュー、メンバー、アンケート、開催イベント数)がある</t>
        </is>
      </c>
    </row>
    <row r="811">
      <c r="A811" s="16" t="inlineStr">
        <is>
          <t>こくちーず</t>
        </is>
      </c>
      <c r="B811" s="16" t="inlineStr">
        <is>
          <t>OP12</t>
        </is>
      </c>
      <c r="C811" s="16" t="inlineStr">
        <is>
          <t>外部ツール連携・API</t>
        </is>
      </c>
      <c r="D811" s="13" t="inlineStr">
        <is>
          <t>△</t>
        </is>
      </c>
      <c r="E811" s="16" t="inlineStr">
        <is>
          <t>公式</t>
        </is>
      </c>
      <c r="F811" s="17" t="inlineStr">
        <is>
          <t>https://www.kokuchpro.com/pages/online/</t>
        </is>
      </c>
      <c r="G811" s="16" t="inlineStr">
        <is>
          <t>Zoom・Google Meet・YouTube Liveなどのオンライン会場URL設定と出席記録、Google Analytics連携、RSS、外部サイトでの申込受付がある。API・Webhook・Slack連携は確認できず</t>
        </is>
      </c>
    </row>
    <row r="812">
      <c r="A812" s="16" t="inlineStr">
        <is>
          <t>こくちーず</t>
        </is>
      </c>
      <c r="B812" s="16" t="inlineStr">
        <is>
          <t>AC01</t>
        </is>
      </c>
      <c r="C812" s="16" t="inlineStr">
        <is>
          <t>無料イベントは無料</t>
        </is>
      </c>
      <c r="D812" s="13" t="inlineStr">
        <is>
          <t>✅</t>
        </is>
      </c>
      <c r="E812" s="16" t="inlineStr">
        <is>
          <t>公式</t>
        </is>
      </c>
      <c r="F812" s="17" t="inlineStr">
        <is>
          <t>https://www.kokuchpro.com/pages/prices/</t>
        </is>
      </c>
      <c r="G812" s="16" t="inlineStr">
        <is>
          <t>無料イベントの販売手数料は0円で固定費もない(無料のスタンダードは広告が表示される)</t>
        </is>
      </c>
    </row>
    <row r="813">
      <c r="A813" s="16" t="inlineStr">
        <is>
          <t>こくちーず</t>
        </is>
      </c>
      <c r="B813" s="16" t="inlineStr">
        <is>
          <t>AC02</t>
        </is>
      </c>
      <c r="C813" s="16" t="inlineStr">
        <is>
          <t>手数料負担の選択</t>
        </is>
      </c>
      <c r="D813" s="13" t="inlineStr">
        <is>
          <t>？</t>
        </is>
      </c>
      <c r="E813" s="16" t="inlineStr">
        <is>
          <t>なし</t>
        </is>
      </c>
      <c r="F813" s="16" t="inlineStr"/>
      <c r="G813" s="16" t="inlineStr">
        <is>
          <t>販売手数料は主催者の控除で、コンビニ・ATM払いの220円のみ申込者負担(固定)。負担者を選ぶ機能は確認できなかった</t>
        </is>
      </c>
    </row>
    <row r="814">
      <c r="A814" s="16" t="inlineStr">
        <is>
          <t>こくちーず</t>
        </is>
      </c>
      <c r="B814" s="16" t="inlineStr">
        <is>
          <t>AC03</t>
        </is>
      </c>
      <c r="C814" s="16" t="inlineStr">
        <is>
          <t>参加者データの所有・出力</t>
        </is>
      </c>
      <c r="D814" s="13" t="inlineStr">
        <is>
          <t>✅</t>
        </is>
      </c>
      <c r="E814" s="16" t="inlineStr">
        <is>
          <t>公式</t>
        </is>
      </c>
      <c r="F814" s="17" t="inlineStr">
        <is>
          <t>https://www.kokuchpro.com/pages/functions/</t>
        </is>
      </c>
      <c r="G814" s="16" t="inlineStr">
        <is>
          <t>参加者名簿をCSVでダウンロードでき、アンケート回答やメール配信先として主催者が保有できる</t>
        </is>
      </c>
    </row>
    <row r="815">
      <c r="A815" s="16" t="inlineStr">
        <is>
          <t>こくちーず</t>
        </is>
      </c>
      <c r="B815" s="16" t="inlineStr">
        <is>
          <t>AC04</t>
        </is>
      </c>
      <c r="C815" s="16" t="inlineStr">
        <is>
          <t>他サービスからの移行</t>
        </is>
      </c>
      <c r="D815" s="13" t="inlineStr">
        <is>
          <t>？</t>
        </is>
      </c>
      <c r="E815" s="16" t="inlineStr">
        <is>
          <t>なし</t>
        </is>
      </c>
      <c r="F815" s="16" t="inlineStr"/>
      <c r="G815" s="16" t="inlineStr">
        <is>
          <t>他サービスからの移行支援は確認できなかった</t>
        </is>
      </c>
    </row>
    <row r="816">
      <c r="A816" s="16" t="inlineStr">
        <is>
          <t>こくちーず</t>
        </is>
      </c>
      <c r="B816" s="16" t="inlineStr">
        <is>
          <t>AC05</t>
        </is>
      </c>
      <c r="C816" s="16" t="inlineStr">
        <is>
          <t>主催者紹介・アンバサダー</t>
        </is>
      </c>
      <c r="D816" s="13" t="inlineStr">
        <is>
          <t>？</t>
        </is>
      </c>
      <c r="E816" s="16" t="inlineStr">
        <is>
          <t>なし</t>
        </is>
      </c>
      <c r="F816" s="16" t="inlineStr"/>
      <c r="G816" s="16" t="inlineStr">
        <is>
          <t>主催者紹介・アンバサダー制度は確認できなかった</t>
        </is>
      </c>
    </row>
    <row r="817">
      <c r="A817" s="16" t="inlineStr">
        <is>
          <t>こくちーず</t>
        </is>
      </c>
      <c r="B817" s="16" t="inlineStr">
        <is>
          <t>AC06</t>
        </is>
      </c>
      <c r="C817" s="16" t="inlineStr">
        <is>
          <t>主催者向け教育・テンプレ</t>
        </is>
      </c>
      <c r="D817" s="13" t="inlineStr">
        <is>
          <t>✅</t>
        </is>
      </c>
      <c r="E817" s="16" t="inlineStr">
        <is>
          <t>公式</t>
        </is>
      </c>
      <c r="F817" s="17" t="inlineStr">
        <is>
          <t>https://www.kokuchpro.com/pages/guide/</t>
        </is>
      </c>
      <c r="G817" s="16" t="inlineStr">
        <is>
          <t>公式ガイドブック(2019)、ご利用の流れ、ご利用事例集(掲載事例多数)、オンライン機能の説明会(2020-06)、コロナ対策ガイドラインがある。体験談型の事例は確認できず</t>
        </is>
      </c>
    </row>
    <row r="818">
      <c r="A818" s="16" t="inlineStr">
        <is>
          <t>こくちーず</t>
        </is>
      </c>
      <c r="B818" s="16" t="inlineStr">
        <is>
          <t>AC07</t>
        </is>
      </c>
      <c r="C818" s="16" t="inlineStr">
        <is>
          <t>集客支援の商品</t>
        </is>
      </c>
      <c r="D818" s="13" t="inlineStr">
        <is>
          <t>✅</t>
        </is>
      </c>
      <c r="E818" s="16" t="inlineStr">
        <is>
          <t>公式</t>
        </is>
      </c>
      <c r="F818" s="17" t="inlineStr">
        <is>
          <t>https://www.kokuchpro.com/pages/promotion/</t>
        </is>
      </c>
      <c r="G818" s="16" t="inlineStr">
        <is>
          <t>グレードアップ(検索の上位表示約3ヶ月とバッジ)、メール配信広告、リード獲得型広告(成果報酬)、ターゲティング広告、バナー広告がある</t>
        </is>
      </c>
    </row>
    <row r="819">
      <c r="A819" s="16" t="inlineStr">
        <is>
          <t>こくちーず</t>
        </is>
      </c>
      <c r="B819" s="16" t="inlineStr">
        <is>
          <t>AC08</t>
        </is>
      </c>
      <c r="C819" s="16" t="inlineStr">
        <is>
          <t>運営主催・公式イベント</t>
        </is>
      </c>
      <c r="D819" s="13" t="inlineStr">
        <is>
          <t>△</t>
        </is>
      </c>
      <c r="E819" s="16" t="inlineStr">
        <is>
          <t>公式</t>
        </is>
      </c>
      <c r="F819" s="17" t="inlineStr">
        <is>
          <t>https://www.kokuchpro.com/group/members/</t>
        </is>
      </c>
      <c r="G819" s="16" t="inlineStr">
        <is>
          <t>運営グループがデモイベントを開催し、オンライン機能の説明会(2020-06)も実施。コミュニティ向けの公式イベント主催は確認できず。こくちーずファーム(農業)は別事業</t>
        </is>
      </c>
    </row>
    <row r="820">
      <c r="A820" s="16" t="inlineStr">
        <is>
          <t>こくちーず</t>
        </is>
      </c>
      <c r="B820" s="16" t="inlineStr">
        <is>
          <t>CR01</t>
        </is>
      </c>
      <c r="C820" s="16" t="inlineStr">
        <is>
          <t>ダイジェスト・おすすめ通知</t>
        </is>
      </c>
      <c r="D820" s="13" t="inlineStr">
        <is>
          <t>✅</t>
        </is>
      </c>
      <c r="E820" s="16" t="inlineStr">
        <is>
          <t>公式</t>
        </is>
      </c>
      <c r="F820" s="17" t="inlineStr">
        <is>
          <t>https://www.kokuchpro.com/pages/functions/</t>
        </is>
      </c>
      <c r="G820" s="16" t="inlineStr">
        <is>
          <t>ジャンル・エリアに基づくおすすめイベントメールがある(2022-11に近日開催のおすすめをまとめて配信)。グロース根拠あり(メールが効いたチャネルとされる)</t>
        </is>
      </c>
    </row>
    <row r="821">
      <c r="A821" s="16" t="inlineStr">
        <is>
          <t>こくちーず</t>
        </is>
      </c>
      <c r="B821" s="16" t="inlineStr">
        <is>
          <t>CR02</t>
        </is>
      </c>
      <c r="C821" s="16" t="inlineStr">
        <is>
          <t>自動メンバー化</t>
        </is>
      </c>
      <c r="D821" s="13" t="inlineStr">
        <is>
          <t>？</t>
        </is>
      </c>
      <c r="E821" s="16" t="inlineStr">
        <is>
          <t>なし</t>
        </is>
      </c>
      <c r="F821" s="16" t="inlineStr"/>
      <c r="G821" s="16" t="inlineStr">
        <is>
          <t>申込者の自動グループ加入は確認できなかった(会員登録時に運営グループへ自動加入するのみ)</t>
        </is>
      </c>
    </row>
    <row r="822">
      <c r="A822" s="16" t="inlineStr">
        <is>
          <t>こくちーず</t>
        </is>
      </c>
      <c r="B822" s="16" t="inlineStr">
        <is>
          <t>CR03</t>
        </is>
      </c>
      <c r="C822" s="16" t="inlineStr">
        <is>
          <t>前回参加者への優先案内</t>
        </is>
      </c>
      <c r="D822" s="13" t="inlineStr">
        <is>
          <t>△</t>
        </is>
      </c>
      <c r="E822" s="16" t="inlineStr">
        <is>
          <t>公式</t>
        </is>
      </c>
      <c r="F822" s="17" t="inlineStr">
        <is>
          <t>https://www.kokuchpro.com/pages/premium/</t>
        </is>
      </c>
      <c r="G822" s="16" t="inlineStr">
        <is>
          <t>プレミアム会員は過去の参加者・コミュニティメンバーへ一斉メールを送れる。先行・優先受付の機能は確認できず</t>
        </is>
      </c>
    </row>
    <row r="823">
      <c r="A823" s="16" t="inlineStr">
        <is>
          <t>こくちーず</t>
        </is>
      </c>
      <c r="B823" s="16" t="inlineStr">
        <is>
          <t>CR04</t>
        </is>
      </c>
      <c r="C823" s="16" t="inlineStr">
        <is>
          <t>主催者CRM・購読者リスト</t>
        </is>
      </c>
      <c r="D823" s="13" t="inlineStr">
        <is>
          <t>△</t>
        </is>
      </c>
      <c r="E823" s="16" t="inlineStr">
        <is>
          <t>公式</t>
        </is>
      </c>
      <c r="F823" s="17" t="inlineStr">
        <is>
          <t>https://www.kokuchpro.com/pages/premium/</t>
        </is>
      </c>
      <c r="G823" s="16" t="inlineStr">
        <is>
          <t>プレミアムでメンバーや過去参加者へメール配信できる(画像・CTAボタン対応、2021)。グループアンケートもある。セグメント配信は確認できず</t>
        </is>
      </c>
    </row>
    <row r="824">
      <c r="A824" s="16" t="inlineStr">
        <is>
          <t>こくちーず</t>
        </is>
      </c>
      <c r="B824" s="16" t="inlineStr">
        <is>
          <t>CR05</t>
        </is>
      </c>
      <c r="C824" s="16" t="inlineStr">
        <is>
          <t>参加履歴・バッジ・実績</t>
        </is>
      </c>
      <c r="D824" s="13" t="inlineStr">
        <is>
          <t>△</t>
        </is>
      </c>
      <c r="E824" s="16" t="inlineStr">
        <is>
          <t>公式</t>
        </is>
      </c>
      <c r="F824" s="17" t="inlineStr">
        <is>
          <t>https://www.kokuchpro.com/pages/premium/</t>
        </is>
      </c>
      <c r="G824" s="16" t="inlineStr">
        <is>
          <t>認証済みバッジ(プレミアム)、注目バッジ(グレードアップ)、グループの開催イベント数とレビュー評価を表示する。参加者側の参加履歴バッジは確認できず</t>
        </is>
      </c>
    </row>
    <row r="825">
      <c r="A825" s="16" t="inlineStr">
        <is>
          <t>こくちーず</t>
        </is>
      </c>
      <c r="B825" s="16" t="inlineStr">
        <is>
          <t>CR06</t>
        </is>
      </c>
      <c r="C825" s="16" t="inlineStr">
        <is>
          <t>レビュー・評価</t>
        </is>
      </c>
      <c r="D825" s="13" t="inlineStr">
        <is>
          <t>✅</t>
        </is>
      </c>
      <c r="E825" s="16" t="inlineStr">
        <is>
          <t>公式</t>
        </is>
      </c>
      <c r="F825" s="17" t="inlineStr">
        <is>
          <t>https://www.kokuchpro.com/pages/review_guideline/</t>
        </is>
      </c>
      <c r="G825" s="16" t="inlineStr">
        <is>
          <t>実際に参加したイベントのレビューを投稿しグループ・イベントページに公開する(2021〜)。検索はレビュー評価順・件数順で並べ替えられる</t>
        </is>
      </c>
    </row>
    <row r="826">
      <c r="A826" s="16" t="inlineStr">
        <is>
          <t>こくちーず</t>
        </is>
      </c>
      <c r="B826" s="16" t="inlineStr">
        <is>
          <t>CR07</t>
        </is>
      </c>
      <c r="C826" s="16" t="inlineStr">
        <is>
          <t>グループチャット・掲示板</t>
        </is>
      </c>
      <c r="D826" s="13" t="inlineStr">
        <is>
          <t>？</t>
        </is>
      </c>
      <c r="E826" s="16" t="inlineStr">
        <is>
          <t>なし</t>
        </is>
      </c>
      <c r="F826" s="16" t="inlineStr"/>
      <c r="G826" s="16" t="inlineStr">
        <is>
          <t>グループアンケートとイベントのお知らせ(一方向)のみで、参加者同士のチャット・掲示板は確認できなかった</t>
        </is>
      </c>
    </row>
    <row r="827">
      <c r="A827" s="16" t="inlineStr">
        <is>
          <t>こくちーず</t>
        </is>
      </c>
      <c r="B827" s="16" t="inlineStr">
        <is>
          <t>CR08</t>
        </is>
      </c>
      <c r="C827" s="16" t="inlineStr">
        <is>
          <t>年間まとめ・振り返り共有</t>
        </is>
      </c>
      <c r="D827" s="13" t="inlineStr">
        <is>
          <t>？</t>
        </is>
      </c>
      <c r="E827" s="16" t="inlineStr">
        <is>
          <t>なし</t>
        </is>
      </c>
      <c r="F827" s="16" t="inlineStr"/>
      <c r="G827" s="16" t="inlineStr">
        <is>
          <t>年間まとめ・振り返り共有は確認できなかった(卓上カレンダーのプレゼントは会員向けキャンペーン)</t>
        </is>
      </c>
    </row>
    <row r="828">
      <c r="A828" s="16" t="inlineStr">
        <is>
          <t>こくちーず</t>
        </is>
      </c>
      <c r="B828" s="16" t="inlineStr">
        <is>
          <t>TS01</t>
        </is>
      </c>
      <c r="C828" s="16" t="inlineStr">
        <is>
          <t>本人確認・認証</t>
        </is>
      </c>
      <c r="D828" s="13" t="inlineStr">
        <is>
          <t>✅</t>
        </is>
      </c>
      <c r="E828" s="16" t="inlineStr">
        <is>
          <t>公式</t>
        </is>
      </c>
      <c r="F828" s="17" t="inlineStr">
        <is>
          <t>https://blog.kokuchpro.com/post/667607979241111552/2022%E5%B9%B4%E7%89%88%E3%82%AA%E3%83%AA%E3%82%B8%E3%83%8A%E3%83%AB%E5%8D%93%E4%B8%8A%E3%82%AB%E3%83%AC%E3%83%B3%E3%83%80%E3%83%BC%E3%83%97%E3%83%AC%E3%82%BC%E3%83%B3%E3%83%88%E3%82%AD%E3%83%A3%E3%83%B3%E3%83%9A%E3%83%BC%E3%83%B3</t>
        </is>
      </c>
      <c r="G828" s="16" t="inlineStr">
        <is>
          <t>イベント公開に電話番号認証が必須(2021)。2段階認証(アプリ)も設定できる。不正イベントの通報も本人認証・電話番号認証済みアカウントのみ</t>
        </is>
      </c>
    </row>
    <row r="829">
      <c r="A829" s="16" t="inlineStr">
        <is>
          <t>こくちーず</t>
        </is>
      </c>
      <c r="B829" s="16" t="inlineStr">
        <is>
          <t>TS02</t>
        </is>
      </c>
      <c r="C829" s="16" t="inlineStr">
        <is>
          <t>主催者の審査・認定</t>
        </is>
      </c>
      <c r="D829" s="13" t="inlineStr">
        <is>
          <t>△</t>
        </is>
      </c>
      <c r="E829" s="16" t="inlineStr">
        <is>
          <t>公式</t>
        </is>
      </c>
      <c r="F829" s="17" t="inlineStr">
        <is>
          <t>https://www.kokuchpro.com/pages/guide/</t>
        </is>
      </c>
      <c r="G829" s="16" t="inlineStr">
        <is>
          <t>こくちーず決済は利用申請と審査が必要。認証済みバッジはプレミアム。イベント一覧への掲載自体は審査なし</t>
        </is>
      </c>
    </row>
    <row r="830">
      <c r="A830" s="16" t="inlineStr">
        <is>
          <t>こくちーず</t>
        </is>
      </c>
      <c r="B830" s="16" t="inlineStr">
        <is>
          <t>TS03</t>
        </is>
      </c>
      <c r="C830" s="16" t="inlineStr">
        <is>
          <t>通報・ブロック・モデレーション</t>
        </is>
      </c>
      <c r="D830" s="13" t="inlineStr">
        <is>
          <t>✅</t>
        </is>
      </c>
      <c r="E830" s="16" t="inlineStr">
        <is>
          <t>公式</t>
        </is>
      </c>
      <c r="F830" s="17" t="inlineStr">
        <is>
          <t>https://www.kokuchpro.com/pages/abuse_report/</t>
        </is>
      </c>
      <c r="G830" s="16" t="inlineStr">
        <is>
          <t>不正イベントの通報フォーム(2023)があり、運営が確認して不正アカウントの停止などを行う。グループの除名ユーザーを申込のブラックリストにできる(2021)</t>
        </is>
      </c>
    </row>
    <row r="831">
      <c r="A831" s="16" t="inlineStr">
        <is>
          <t>こくちーず</t>
        </is>
      </c>
      <c r="B831" s="16" t="inlineStr">
        <is>
          <t>TS04</t>
        </is>
      </c>
      <c r="C831" s="16" t="inlineStr">
        <is>
          <t>ドタキャン対策</t>
        </is>
      </c>
      <c r="D831" s="13" t="inlineStr">
        <is>
          <t>✅</t>
        </is>
      </c>
      <c r="E831" s="16" t="inlineStr">
        <is>
          <t>公式</t>
        </is>
      </c>
      <c r="F831" s="17" t="inlineStr">
        <is>
          <t>https://www.kokuchpro.com/pages/guide/</t>
        </is>
      </c>
      <c r="G831" s="16" t="inlineStr">
        <is>
          <t>クレジットカード・コンビニ・ATMの事前決済、キャンセル受付期限、キャンセル・払い戻しの特記事項の記載必須、リマインドメールでのドタキャン防止の推奨がある</t>
        </is>
      </c>
    </row>
    <row r="832">
      <c r="A832" s="16" t="inlineStr">
        <is>
          <t>こくちーず</t>
        </is>
      </c>
      <c r="B832" s="16" t="inlineStr">
        <is>
          <t>TS05</t>
        </is>
      </c>
      <c r="C832" s="16" t="inlineStr">
        <is>
          <t>参加者情報の保護</t>
        </is>
      </c>
      <c r="D832" s="13" t="inlineStr">
        <is>
          <t>？</t>
        </is>
      </c>
      <c r="E832" s="16" t="inlineStr">
        <is>
          <t>なし</t>
        </is>
      </c>
      <c r="F832" s="16" t="inlineStr"/>
      <c r="G832" s="16" t="inlineStr">
        <is>
          <t>2023年に『イベント別の個人情報保護方針設定』を追加したとの記載のみで、参加者一覧の限定公開・匿名表示は確認できなかった</t>
        </is>
      </c>
    </row>
    <row r="833">
      <c r="A833" s="16" t="inlineStr">
        <is>
          <t>こくちーず</t>
        </is>
      </c>
      <c r="B833" s="16" t="inlineStr">
        <is>
          <t>TS06</t>
        </is>
      </c>
      <c r="C833" s="16" t="inlineStr">
        <is>
          <t>直接取引の抑止</t>
        </is>
      </c>
      <c r="D833" s="13" t="inlineStr">
        <is>
          <t>❌</t>
        </is>
      </c>
      <c r="E833" s="16" t="inlineStr">
        <is>
          <t>公式</t>
        </is>
      </c>
      <c r="F833" s="17" t="inlineStr">
        <is>
          <t>https://www.kokuchpro.com/pages/functions/</t>
        </is>
      </c>
      <c r="G833" s="16" t="inlineStr">
        <is>
          <t>外部サイトでの申込受付と個別支払(会場払い・銀行振込は手数料0円)を機能として提供しており、外部取引を抑える仕組みはない</t>
        </is>
      </c>
    </row>
    <row r="834">
      <c r="A834" s="16" t="inlineStr">
        <is>
          <t>こくちーず</t>
        </is>
      </c>
      <c r="B834" s="16" t="inlineStr">
        <is>
          <t>FD01</t>
        </is>
      </c>
      <c r="C834" s="16" t="inlineStr">
        <is>
          <t>メニューの事前注文・選択</t>
        </is>
      </c>
      <c r="D834" s="13" t="inlineStr">
        <is>
          <t>△</t>
        </is>
      </c>
      <c r="E834" s="16" t="inlineStr">
        <is>
          <t>公式</t>
        </is>
      </c>
      <c r="F834" s="17" t="inlineStr">
        <is>
          <t>https://www.kokuchpro.com/pages/functions/</t>
        </is>
      </c>
      <c r="G834" s="16" t="inlineStr">
        <is>
          <t>懇親会の同時申込とチケット種類(価格・席別)で食事付きを選ばせる運用はできる(解釈)。料理・ドリンクを選ぶ専用機能は確認できず</t>
        </is>
      </c>
    </row>
    <row r="835">
      <c r="A835" s="16" t="inlineStr">
        <is>
          <t>こくちーず</t>
        </is>
      </c>
      <c r="B835" s="16" t="inlineStr">
        <is>
          <t>FD02</t>
        </is>
      </c>
      <c r="C835" s="16" t="inlineStr">
        <is>
          <t>アレルギー・食の好みの登録</t>
        </is>
      </c>
      <c r="D835" s="13" t="inlineStr">
        <is>
          <t>△</t>
        </is>
      </c>
      <c r="E835" s="16" t="inlineStr">
        <is>
          <t>公式</t>
        </is>
      </c>
      <c r="F835" s="17" t="inlineStr">
        <is>
          <t>https://www.kokuchpro.com/pages/functions/</t>
        </is>
      </c>
      <c r="G835" s="16" t="inlineStr">
        <is>
          <t>専用機能はない。参加者アンケートで食の好み・アレルギーを聞き主催者が名簿で確認する運用は可能(解釈)</t>
        </is>
      </c>
    </row>
    <row r="836">
      <c r="A836" s="16" t="inlineStr">
        <is>
          <t>こくちーず</t>
        </is>
      </c>
      <c r="B836" s="16" t="inlineStr">
        <is>
          <t>FD03</t>
        </is>
      </c>
      <c r="C836" s="16" t="inlineStr">
        <is>
          <t>店舗向け管理画面</t>
        </is>
      </c>
      <c r="D836" s="13" t="inlineStr">
        <is>
          <t>？</t>
        </is>
      </c>
      <c r="E836" s="16" t="inlineStr">
        <is>
          <t>なし</t>
        </is>
      </c>
      <c r="F836" s="16" t="inlineStr"/>
      <c r="G836" s="16" t="inlineStr">
        <is>
          <t>店舗向け管理画面は確認できなかった</t>
        </is>
      </c>
    </row>
    <row r="837">
      <c r="A837" s="16" t="inlineStr">
        <is>
          <t>こくちーず</t>
        </is>
      </c>
      <c r="B837" s="16" t="inlineStr">
        <is>
          <t>FD04</t>
        </is>
      </c>
      <c r="C837" s="16" t="inlineStr">
        <is>
          <t>人数確定の店舗通知・集計</t>
        </is>
      </c>
      <c r="D837" s="13" t="inlineStr">
        <is>
          <t>？</t>
        </is>
      </c>
      <c r="E837" s="16" t="inlineStr">
        <is>
          <t>なし</t>
        </is>
      </c>
      <c r="F837" s="16" t="inlineStr"/>
      <c r="G837" s="16" t="inlineStr">
        <is>
          <t>人数・注文の店舗通知は確認できなかった</t>
        </is>
      </c>
    </row>
    <row r="838">
      <c r="A838" s="16" t="inlineStr">
        <is>
          <t>こくちーず</t>
        </is>
      </c>
      <c r="B838" s="16" t="inlineStr">
        <is>
          <t>FD05</t>
        </is>
      </c>
      <c r="C838" s="16" t="inlineStr">
        <is>
          <t>席の確保・貸切の連携</t>
        </is>
      </c>
      <c r="D838" s="13" t="inlineStr">
        <is>
          <t>？</t>
        </is>
      </c>
      <c r="E838" s="16" t="inlineStr">
        <is>
          <t>なし</t>
        </is>
      </c>
      <c r="F838" s="16" t="inlineStr"/>
      <c r="G838" s="16" t="inlineStr">
        <is>
          <t>席・貸切の確保連携は確認できなかった</t>
        </is>
      </c>
    </row>
    <row r="839">
      <c r="A839" s="16" t="inlineStr">
        <is>
          <t>こくちーず</t>
        </is>
      </c>
      <c r="B839" s="16" t="inlineStr">
        <is>
          <t>FD06</t>
        </is>
      </c>
      <c r="C839" s="16" t="inlineStr">
        <is>
          <t>コース・固定メニュー</t>
        </is>
      </c>
      <c r="D839" s="13" t="inlineStr">
        <is>
          <t>？</t>
        </is>
      </c>
      <c r="E839" s="16" t="inlineStr">
        <is>
          <t>なし</t>
        </is>
      </c>
      <c r="F839" s="16" t="inlineStr"/>
      <c r="G839" s="16" t="inlineStr">
        <is>
          <t>コース・固定メニューの選択は確認できなかった</t>
        </is>
      </c>
    </row>
    <row r="840">
      <c r="A840" s="16" t="inlineStr">
        <is>
          <t>こくちーず</t>
        </is>
      </c>
      <c r="B840" s="16" t="inlineStr">
        <is>
          <t>FD07</t>
        </is>
      </c>
      <c r="C840" s="16" t="inlineStr">
        <is>
          <t>割り勘・個別会計</t>
        </is>
      </c>
      <c r="D840" s="13" t="inlineStr">
        <is>
          <t>？</t>
        </is>
      </c>
      <c r="E840" s="16" t="inlineStr">
        <is>
          <t>なし</t>
        </is>
      </c>
      <c r="F840" s="16" t="inlineStr"/>
      <c r="G840" s="16" t="inlineStr">
        <is>
          <t>割り勘・個別会計は確認できなかった(複数人申込は代表者のまとめ申込)</t>
        </is>
      </c>
    </row>
    <row r="841">
      <c r="A841" s="16" t="inlineStr">
        <is>
          <t>こくちーず</t>
        </is>
      </c>
      <c r="B841" s="16" t="inlineStr">
        <is>
          <t>FD08</t>
        </is>
      </c>
      <c r="C841" s="16" t="inlineStr">
        <is>
          <t>店探し・店選び支援</t>
        </is>
      </c>
      <c r="D841" s="13" t="inlineStr">
        <is>
          <t>△</t>
        </is>
      </c>
      <c r="E841" s="16" t="inlineStr">
        <is>
          <t>公式</t>
        </is>
      </c>
      <c r="F841" s="17" t="inlineStr">
        <is>
          <t>https://www.kokuchspace.com</t>
        </is>
      </c>
      <c r="G841" s="16" t="inlineStr">
        <is>
          <t>会場検索サイト『こくちーずスペース』(約4,200会場・飲食可などの絞り込みあり)がある。飲食店の比較・予約ではなく公共施設・貸会議室が中心</t>
        </is>
      </c>
    </row>
    <row r="842">
      <c r="A842" s="16" t="inlineStr">
        <is>
          <t>こくちーず</t>
        </is>
      </c>
      <c r="B842" s="16" t="inlineStr">
        <is>
          <t>FD09</t>
        </is>
      </c>
      <c r="C842" s="16" t="inlineStr">
        <is>
          <t>売り切れ・限定数の管理</t>
        </is>
      </c>
      <c r="D842" s="13" t="inlineStr">
        <is>
          <t>？</t>
        </is>
      </c>
      <c r="E842" s="16" t="inlineStr">
        <is>
          <t>なし</t>
        </is>
      </c>
      <c r="F842" s="16" t="inlineStr"/>
      <c r="G842" s="16" t="inlineStr">
        <is>
          <t>売り切れ・限定数の管理(メニュー単位)は確認できなかった(チケット種類ごとの枚数管理はある)</t>
        </is>
      </c>
    </row>
    <row r="843">
      <c r="A843" s="16" t="inlineStr">
        <is>
          <t>こくちーず</t>
        </is>
      </c>
      <c r="B843" s="16" t="inlineStr">
        <is>
          <t>FD10</t>
        </is>
      </c>
      <c r="C843" s="16" t="inlineStr">
        <is>
          <t>提供形態の選択</t>
        </is>
      </c>
      <c r="D843" s="13" t="inlineStr">
        <is>
          <t>？</t>
        </is>
      </c>
      <c r="E843" s="16" t="inlineStr">
        <is>
          <t>なし</t>
        </is>
      </c>
      <c r="F843" s="16" t="inlineStr"/>
      <c r="G843" s="16" t="inlineStr">
        <is>
          <t>提供形態(イートイン・テイクアウト等)の選択は確認できなかった</t>
        </is>
      </c>
    </row>
    <row r="844">
      <c r="A844" s="16" t="inlineStr">
        <is>
          <t>こくちーず</t>
        </is>
      </c>
      <c r="B844" s="16" t="inlineStr">
        <is>
          <t>MN01</t>
        </is>
      </c>
      <c r="C844" s="16" t="inlineStr">
        <is>
          <t>手数料の明示</t>
        </is>
      </c>
      <c r="D844" s="13" t="inlineStr">
        <is>
          <t>✅</t>
        </is>
      </c>
      <c r="E844" s="16" t="inlineStr">
        <is>
          <t>公式</t>
        </is>
      </c>
      <c r="F844" s="17" t="inlineStr">
        <is>
          <t>https://www.kokuchpro.com/pages/prices/</t>
        </is>
      </c>
      <c r="G844" s="16" t="inlineStr">
        <is>
          <t>こくちーず決済4.8%+99円、PayPal決済6.0%+100円、個別支払0円と明記。コンビニ・ATM払い220円は申込者負担。コンビニ・ATM決済は2022-10開始でグロース根拠あり(会員+30%との因果は不明)</t>
        </is>
      </c>
    </row>
    <row r="845">
      <c r="A845" s="16" t="inlineStr">
        <is>
          <t>こくちーず</t>
        </is>
      </c>
      <c r="B845" s="16" t="inlineStr">
        <is>
          <t>MN02</t>
        </is>
      </c>
      <c r="C845" s="16" t="inlineStr">
        <is>
          <t>主催者向け有料プラン</t>
        </is>
      </c>
      <c r="D845" s="13" t="inlineStr">
        <is>
          <t>✅</t>
        </is>
      </c>
      <c r="E845" s="16" t="inlineStr">
        <is>
          <t>公式</t>
        </is>
      </c>
      <c r="F845" s="17" t="inlineStr">
        <is>
          <t>https://www.kokuchpro.com/pages/premium/</t>
        </is>
      </c>
      <c r="G845" s="16" t="inlineStr">
        <is>
          <t>プレミアム会員は月額1000円(年12000円・1年契約)。イベント単位のグレードアップ(シルバー11000円・ゴールド55000円)もある</t>
        </is>
      </c>
    </row>
    <row r="846">
      <c r="A846" s="16" t="inlineStr">
        <is>
          <t>こくちーず</t>
        </is>
      </c>
      <c r="B846" s="16" t="inlineStr">
        <is>
          <t>MN03</t>
        </is>
      </c>
      <c r="C846" s="16" t="inlineStr">
        <is>
          <t>任意チップ・寄付</t>
        </is>
      </c>
      <c r="D846" s="13" t="inlineStr">
        <is>
          <t>？</t>
        </is>
      </c>
      <c r="E846" s="16" t="inlineStr">
        <is>
          <t>なし</t>
        </is>
      </c>
      <c r="F846" s="16" t="inlineStr"/>
      <c r="G846" s="16" t="inlineStr">
        <is>
          <t>任意のチップ・寄付は確認できなかった</t>
        </is>
      </c>
    </row>
    <row r="847">
      <c r="A847" s="16" t="inlineStr">
        <is>
          <t>こくちーず</t>
        </is>
      </c>
      <c r="B847" s="16" t="inlineStr">
        <is>
          <t>MN04</t>
        </is>
      </c>
      <c r="C847" s="16" t="inlineStr">
        <is>
          <t>クーポン・割引コード</t>
        </is>
      </c>
      <c r="D847" s="13" t="inlineStr">
        <is>
          <t>△</t>
        </is>
      </c>
      <c r="E847" s="16" t="inlineStr">
        <is>
          <t>公式</t>
        </is>
      </c>
      <c r="F847" s="17" t="inlineStr">
        <is>
          <t>https://www.kokuchpro.com/pages/premium/</t>
        </is>
      </c>
      <c r="G847" s="16" t="inlineStr">
        <is>
          <t>プロモーションコードによる特別割引チケットを発行できる(プレミアム限定、2020-08追加)</t>
        </is>
      </c>
    </row>
    <row r="848">
      <c r="A848" s="16" t="inlineStr">
        <is>
          <t>こくちーず</t>
        </is>
      </c>
      <c r="B848" s="16" t="inlineStr">
        <is>
          <t>MN05</t>
        </is>
      </c>
      <c r="C848" s="16" t="inlineStr">
        <is>
          <t>ポイント・会員特典</t>
        </is>
      </c>
      <c r="D848" s="13" t="inlineStr">
        <is>
          <t>？</t>
        </is>
      </c>
      <c r="E848" s="16" t="inlineStr">
        <is>
          <t>なし</t>
        </is>
      </c>
      <c r="F848" s="16" t="inlineStr"/>
      <c r="G848" s="16" t="inlineStr">
        <is>
          <t>ポイント・会員特典は確認できなかった</t>
        </is>
      </c>
    </row>
    <row r="849">
      <c r="A849" s="16" t="inlineStr">
        <is>
          <t>ストアカ</t>
        </is>
      </c>
      <c r="B849" s="16" t="inlineStr">
        <is>
          <t>DS01</t>
        </is>
      </c>
      <c r="C849" s="16" t="inlineStr">
        <is>
          <t>キーワード・カテゴリ検索</t>
        </is>
      </c>
      <c r="D849" s="13" t="inlineStr">
        <is>
          <t>✅</t>
        </is>
      </c>
      <c r="E849" s="16" t="inlineStr">
        <is>
          <t>公式</t>
        </is>
      </c>
      <c r="F849" s="17" t="inlineStr">
        <is>
          <t>https://www.street-academy.com/</t>
        </is>
      </c>
      <c r="G849" s="16" t="inlineStr">
        <is>
          <t>検索窓(キーワード)とカテゴリー(500ジャンル以上)で検索できる</t>
        </is>
      </c>
    </row>
    <row r="850">
      <c r="A850" s="16" t="inlineStr">
        <is>
          <t>ストアカ</t>
        </is>
      </c>
      <c r="B850" s="16" t="inlineStr">
        <is>
          <t>DS02</t>
        </is>
      </c>
      <c r="C850" s="16" t="inlineStr">
        <is>
          <t>地域・地図検索</t>
        </is>
      </c>
      <c r="D850" s="13" t="inlineStr">
        <is>
          <t>△</t>
        </is>
      </c>
      <c r="E850" s="16" t="inlineStr">
        <is>
          <t>公式</t>
        </is>
      </c>
      <c r="F850" s="17" t="inlineStr">
        <is>
          <t>https://www.street-academy.com/zenkoku/all</t>
        </is>
      </c>
      <c r="G850" s="16" t="inlineStr">
        <is>
          <t>エリア(地方・都道府県)と対面・オンラインで絞り込み、結果に最寄り駅などの場所を表示する。地図検索は確認できず</t>
        </is>
      </c>
    </row>
    <row r="851">
      <c r="A851" s="16" t="inlineStr">
        <is>
          <t>ストアカ</t>
        </is>
      </c>
      <c r="B851" s="16" t="inlineStr">
        <is>
          <t>DS03</t>
        </is>
      </c>
      <c r="C851" s="16" t="inlineStr">
        <is>
          <t>日付・価格等の絞り込み</t>
        </is>
      </c>
      <c r="D851" s="13" t="inlineStr">
        <is>
          <t>✅</t>
        </is>
      </c>
      <c r="E851" s="16" t="inlineStr">
        <is>
          <t>公式</t>
        </is>
      </c>
      <c r="F851" s="17" t="inlineStr">
        <is>
          <t>https://www.street-academy.com/zenkoku/all</t>
        </is>
      </c>
      <c r="G851" s="16" t="inlineStr">
        <is>
          <t>日程・開催時間・価格・形式(単発/コース)・エリア・カテゴリで絞り込み、おすすめ・人気・新着・開催日順に並べ替えられる</t>
        </is>
      </c>
    </row>
    <row r="852">
      <c r="A852" s="16" t="inlineStr">
        <is>
          <t>ストアカ</t>
        </is>
      </c>
      <c r="B852" s="16" t="inlineStr">
        <is>
          <t>DS04</t>
        </is>
      </c>
      <c r="C852" s="16" t="inlineStr">
        <is>
          <t>パーソナライズ推薦</t>
        </is>
      </c>
      <c r="D852" s="13" t="inlineStr">
        <is>
          <t>△</t>
        </is>
      </c>
      <c r="E852" s="16" t="inlineStr">
        <is>
          <t>公式</t>
        </is>
      </c>
      <c r="F852" s="17" t="inlineStr">
        <is>
          <t>https://www.street-academy.com/myclass/206811</t>
        </is>
      </c>
      <c r="G852" s="16" t="inlineStr">
        <is>
          <t>講座ページに『最近チェックした講座』『ほかの人がみている講座』『関連カテゴリーのおすすめ』を表示し、通知設定に『編集部ピックアップ講座』がある。個人最適化フィードの詳細は未確認</t>
        </is>
      </c>
    </row>
    <row r="853">
      <c r="A853" s="16" t="inlineStr">
        <is>
          <t>ストアカ</t>
        </is>
      </c>
      <c r="B853" s="16" t="inlineStr">
        <is>
          <t>DS05</t>
        </is>
      </c>
      <c r="C853" s="16" t="inlineStr">
        <is>
          <t>フォロー</t>
        </is>
      </c>
      <c r="D853" s="13" t="inlineStr">
        <is>
          <t>△</t>
        </is>
      </c>
      <c r="E853" s="16" t="inlineStr">
        <is>
          <t>公式</t>
        </is>
      </c>
      <c r="F853" s="17" t="inlineStr">
        <is>
          <t>https://support.street-academy.com/hc/ja/articles/360010790440-%E5%8F%97%E3%81%91%E3%81%9F%E3%81%84%E7%99%BB%E9%8C%B2%E3%82%92%E3%81%99%E3%82%8B</t>
        </is>
      </c>
      <c r="G853" s="16" t="inlineStr">
        <is>
          <t>先生のフォロー機能は2つの講座ページで確認できず。『受けたい』登録で新日程の通知を受け、『先生からのご案内』を受信できる。ヘルプ本文は403で直接読めず検索結果の要約経由</t>
        </is>
      </c>
    </row>
    <row r="854">
      <c r="A854" s="16" t="inlineStr">
        <is>
          <t>ストアカ</t>
        </is>
      </c>
      <c r="B854" s="16" t="inlineStr">
        <is>
          <t>DS06</t>
        </is>
      </c>
      <c r="C854" s="16" t="inlineStr">
        <is>
          <t>ブックマーク・ウィッシュリスト</t>
        </is>
      </c>
      <c r="D854" s="13" t="inlineStr">
        <is>
          <t>✅</t>
        </is>
      </c>
      <c r="E854" s="16" t="inlineStr">
        <is>
          <t>公式</t>
        </is>
      </c>
      <c r="F854" s="17" t="inlineStr">
        <is>
          <t>https://support.street-academy.com/hc/ja/articles/360010790440-%E5%8F%97%E3%81%91%E3%81%9F%E3%81%84%E7%99%BB%E9%8C%B2%E3%82%92%E3%81%99%E3%82%8B</t>
        </is>
      </c>
      <c r="G854" s="16" t="inlineStr">
        <is>
          <t>『受けたい』登録(マイページ・アプリの受けたいリスト)で保存でき、新日程公開時にメール・アプリで通知される。ヘルプ本文は403で直接読めず検索結果の要約経由</t>
        </is>
      </c>
    </row>
    <row r="855">
      <c r="A855" s="16" t="inlineStr">
        <is>
          <t>ストアカ</t>
        </is>
      </c>
      <c r="B855" s="16" t="inlineStr">
        <is>
          <t>DS07</t>
        </is>
      </c>
      <c r="C855" s="16" t="inlineStr">
        <is>
          <t>公開ディレクトリ・都市×カテゴリページ</t>
        </is>
      </c>
      <c r="D855" s="13" t="inlineStr">
        <is>
          <t>✅</t>
        </is>
      </c>
      <c r="E855" s="16" t="inlineStr">
        <is>
          <t>公式</t>
        </is>
      </c>
      <c r="F855" s="17" t="inlineStr">
        <is>
          <t>https://www.street-academy.com/zenkoku/all</t>
        </is>
      </c>
      <c r="G855" s="16" t="inlineStr">
        <is>
          <t>カテゴリ別・エリア別・先生別の公開一覧ページ(/online/business、/tokyo/all/service_owners など)がある</t>
        </is>
      </c>
    </row>
    <row r="856">
      <c r="A856" s="16" t="inlineStr">
        <is>
          <t>ストアカ</t>
        </is>
      </c>
      <c r="B856" s="16" t="inlineStr">
        <is>
          <t>DS08</t>
        </is>
      </c>
      <c r="C856" s="16" t="inlineStr">
        <is>
          <t>キュレーション・特集</t>
        </is>
      </c>
      <c r="D856" s="13" t="inlineStr">
        <is>
          <t>✅</t>
        </is>
      </c>
      <c r="E856" s="16" t="inlineStr">
        <is>
          <t>公式</t>
        </is>
      </c>
      <c r="F856" s="17" t="inlineStr">
        <is>
          <t>https://www.street-academy.com/</t>
        </is>
      </c>
      <c r="G856" s="16" t="inlineStr">
        <is>
          <t>月間ランキング(対面・オンライン・カテゴリ別)、特集、初めての方におすすめの先生、編集部ピックアップがある</t>
        </is>
      </c>
    </row>
    <row r="857">
      <c r="A857" s="16" t="inlineStr">
        <is>
          <t>ストアカ</t>
        </is>
      </c>
      <c r="B857" s="16" t="inlineStr">
        <is>
          <t>JN01</t>
        </is>
      </c>
      <c r="C857" s="16" t="inlineStr">
        <is>
          <t>アカウント不要の申込</t>
        </is>
      </c>
      <c r="D857" s="13" t="inlineStr">
        <is>
          <t>？</t>
        </is>
      </c>
      <c r="E857" s="16" t="inlineStr">
        <is>
          <t>なし</t>
        </is>
      </c>
      <c r="F857" s="16" t="inlineStr"/>
      <c r="G857" s="16" t="inlineStr">
        <is>
          <t>予約はログイン・会員登録が前提と読めるが、アカウント不要の予約の有無は明記を確認できなかった</t>
        </is>
      </c>
    </row>
    <row r="858">
      <c r="A858" s="16" t="inlineStr">
        <is>
          <t>ストアカ</t>
        </is>
      </c>
      <c r="B858" s="16" t="inlineStr">
        <is>
          <t>JN02</t>
        </is>
      </c>
      <c r="C858" s="16" t="inlineStr">
        <is>
          <t>簡易ログイン</t>
        </is>
      </c>
      <c r="D858" s="13" t="inlineStr">
        <is>
          <t>✅</t>
        </is>
      </c>
      <c r="E858" s="16" t="inlineStr">
        <is>
          <t>公式</t>
        </is>
      </c>
      <c r="F858" s="17" t="inlineStr">
        <is>
          <t>https://www.street-academy.com/</t>
        </is>
      </c>
      <c r="G858" s="16" t="inlineStr">
        <is>
          <t>LINE・Facebookでログイン・登録でき、LINE登録で100ptを付与する。グロース根拠は不明(効果の定量値なし)</t>
        </is>
      </c>
    </row>
    <row r="859">
      <c r="A859" s="16" t="inlineStr">
        <is>
          <t>ストアカ</t>
        </is>
      </c>
      <c r="B859" s="16" t="inlineStr">
        <is>
          <t>JN03</t>
        </is>
      </c>
      <c r="C859" s="16" t="inlineStr">
        <is>
          <t>承認制・参加申請</t>
        </is>
      </c>
      <c r="D859" s="13" t="inlineStr">
        <is>
          <t>？</t>
        </is>
      </c>
      <c r="E859" s="16" t="inlineStr">
        <is>
          <t>なし</t>
        </is>
      </c>
      <c r="F859" s="16" t="inlineStr"/>
      <c r="G859" s="16" t="inlineStr">
        <is>
          <t>予約は即時確定とみられ承認制は確認できなかった(日程の『開催リクエスト』受付はある)</t>
        </is>
      </c>
    </row>
    <row r="860">
      <c r="A860" s="16" t="inlineStr">
        <is>
          <t>ストアカ</t>
        </is>
      </c>
      <c r="B860" s="16" t="inlineStr">
        <is>
          <t>JN04</t>
        </is>
      </c>
      <c r="C860" s="16" t="inlineStr">
        <is>
          <t>ウェイトリスト</t>
        </is>
      </c>
      <c r="D860" s="13" t="inlineStr">
        <is>
          <t>✅</t>
        </is>
      </c>
      <c r="E860" s="16" t="inlineStr">
        <is>
          <t>公式</t>
        </is>
      </c>
      <c r="F860" s="17" t="inlineStr">
        <is>
          <t>https://www.street-academy.com/myclass/206811</t>
        </is>
      </c>
      <c r="G860" s="16" t="inlineStr">
        <is>
          <t>満席の日程に『キャンセル待ち登録する』があり、空席時にメールで通知される</t>
        </is>
      </c>
    </row>
    <row r="861">
      <c r="A861" s="16" t="inlineStr">
        <is>
          <t>ストアカ</t>
        </is>
      </c>
      <c r="B861" s="16" t="inlineStr">
        <is>
          <t>JN05</t>
        </is>
      </c>
      <c r="C861" s="16" t="inlineStr">
        <is>
          <t>定員・残席の表示</t>
        </is>
      </c>
      <c r="D861" s="13" t="inlineStr">
        <is>
          <t>✅</t>
        </is>
      </c>
      <c r="E861" s="16" t="inlineStr">
        <is>
          <t>公式</t>
        </is>
      </c>
      <c r="F861" s="17" t="inlineStr">
        <is>
          <t>https://www.street-academy.com/myclass/206811</t>
        </is>
      </c>
      <c r="G861" s="16" t="inlineStr">
        <is>
          <t>定員・残席(『残り4席』)とSOLD OUTを表示する</t>
        </is>
      </c>
    </row>
    <row r="862">
      <c r="A862" s="16" t="inlineStr">
        <is>
          <t>ストアカ</t>
        </is>
      </c>
      <c r="B862" s="16" t="inlineStr">
        <is>
          <t>JN06</t>
        </is>
      </c>
      <c r="C862" s="16" t="inlineStr">
        <is>
          <t>追加質問・同行者の入力</t>
        </is>
      </c>
      <c r="D862" s="13" t="inlineStr">
        <is>
          <t>✅</t>
        </is>
      </c>
      <c r="E862" s="16" t="inlineStr">
        <is>
          <t>公式</t>
        </is>
      </c>
      <c r="F862" s="17" t="inlineStr">
        <is>
          <t>https://support.street-academy.com/hc/ja/articles/202632125-%E5%AE%B6%E6%97%8F%E3%82%84%E5%8F%8B%E4%BA%BA%E3%81%AA%E3%81%A9%E3%82%B0%E3%83%AB%E3%83%BC%E3%83%97%E3%81%A7%E8%AC%9B%E5%BA%A7%E3%81%AB%E7%94%B3%E3%81%97%E8%BE%BC%E3%82%80</t>
        </is>
      </c>
      <c r="G862" s="16" t="inlineStr">
        <is>
          <t>家族や友人などグループで講座に申し込む機能のヘルプがある(題名のみ確認)。申込前は『先生に質問する』で質問できる。ヘルプ本文は403で直接読めず検索結果の要約経由</t>
        </is>
      </c>
    </row>
    <row r="863">
      <c r="A863" s="16" t="inlineStr">
        <is>
          <t>ストアカ</t>
        </is>
      </c>
      <c r="B863" s="16" t="inlineStr">
        <is>
          <t>JN07</t>
        </is>
      </c>
      <c r="C863" s="16" t="inlineStr">
        <is>
          <t>参加者のセルフキャンセル</t>
        </is>
      </c>
      <c r="D863" s="13" t="inlineStr">
        <is>
          <t>✅</t>
        </is>
      </c>
      <c r="E863" s="16" t="inlineStr">
        <is>
          <t>公式</t>
        </is>
      </c>
      <c r="F863" s="17" t="inlineStr">
        <is>
          <t>https://www.street-academy.com/guideline</t>
        </is>
      </c>
      <c r="G863" s="16" t="inlineStr">
        <is>
          <t>予約締切までは生徒が自分でサイトからキャンセルできる。締切後は原則不可で先生に返金義務なし。先生都合の中止は全額返金</t>
        </is>
      </c>
    </row>
    <row r="864">
      <c r="A864" s="16" t="inlineStr">
        <is>
          <t>ストアカ</t>
        </is>
      </c>
      <c r="B864" s="16" t="inlineStr">
        <is>
          <t>JN08</t>
        </is>
      </c>
      <c r="C864" s="16" t="inlineStr">
        <is>
          <t>カレンダー追加</t>
        </is>
      </c>
      <c r="D864" s="13" t="inlineStr">
        <is>
          <t>？</t>
        </is>
      </c>
      <c r="E864" s="16" t="inlineStr">
        <is>
          <t>なし</t>
        </is>
      </c>
      <c r="F864" s="16" t="inlineStr"/>
      <c r="G864" s="16" t="inlineStr">
        <is>
          <t>予約後のカレンダー追加リンクは確認できなかった</t>
        </is>
      </c>
    </row>
    <row r="865">
      <c r="A865" s="16" t="inlineStr">
        <is>
          <t>ストアカ</t>
        </is>
      </c>
      <c r="B865" s="16" t="inlineStr">
        <is>
          <t>JN09</t>
        </is>
      </c>
      <c r="C865" s="16" t="inlineStr">
        <is>
          <t>開催前リマインド</t>
        </is>
      </c>
      <c r="D865" s="13" t="inlineStr">
        <is>
          <t>✅</t>
        </is>
      </c>
      <c r="E865" s="16" t="inlineStr">
        <is>
          <t>公式</t>
        </is>
      </c>
      <c r="F865" s="17" t="inlineStr">
        <is>
          <t>https://support.street-academy.com/hc/ja/articles/115000097664-%E3%83%A1%E3%83%BC%E3%83%AB%E3%82%84%E3%82%A2%E3%83%97%E3%83%AA%E3%81%AE%E9%80%9A%E7%9F%A5%E8%A8%AD%E5%AE%9A%E3%82%92%E5%A4%89%E6%9B%B4%E3%81%97%E3%81%9F%E3%81%84</t>
        </is>
      </c>
      <c r="G865" s="16" t="inlineStr">
        <is>
          <t>予約した講座の2日前にリマインドを送る(メール・アプリPushを選択可)。ヘルプ本文は403で直接読めず検索結果の要約経由</t>
        </is>
      </c>
    </row>
    <row r="866">
      <c r="A866" s="16" t="inlineStr">
        <is>
          <t>ストアカ</t>
        </is>
      </c>
      <c r="B866" s="16" t="inlineStr">
        <is>
          <t>JN10</t>
        </is>
      </c>
      <c r="C866" s="16" t="inlineStr">
        <is>
          <t>QRチケット・当日受付</t>
        </is>
      </c>
      <c r="D866" s="13" t="inlineStr">
        <is>
          <t>？</t>
        </is>
      </c>
      <c r="E866" s="16" t="inlineStr">
        <is>
          <t>なし</t>
        </is>
      </c>
      <c r="F866" s="16" t="inlineStr"/>
      <c r="G866" s="16" t="inlineStr">
        <is>
          <t>先生ページ・講座ページのQRコードは集客用で、出席確認・QRチケットは確認できなかった</t>
        </is>
      </c>
    </row>
    <row r="867">
      <c r="A867" s="16" t="inlineStr">
        <is>
          <t>ストアカ</t>
        </is>
      </c>
      <c r="B867" s="16" t="inlineStr">
        <is>
          <t>JN11</t>
        </is>
      </c>
      <c r="C867" s="16" t="inlineStr">
        <is>
          <t>参加者一覧の閲覧</t>
        </is>
      </c>
      <c r="D867" s="13" t="inlineStr">
        <is>
          <t>？</t>
        </is>
      </c>
      <c r="E867" s="16" t="inlineStr">
        <is>
          <t>なし</t>
        </is>
      </c>
      <c r="F867" s="16" t="inlineStr"/>
      <c r="G867" s="16" t="inlineStr">
        <is>
          <t>受けた人数・予約数は表示するが、予約者名簿の公開は確認できなかった(受けたい登録者の氏名も先生に非開示)</t>
        </is>
      </c>
    </row>
    <row r="868">
      <c r="A868" s="16" t="inlineStr">
        <is>
          <t>ストアカ</t>
        </is>
      </c>
      <c r="B868" s="16" t="inlineStr">
        <is>
          <t>JN12</t>
        </is>
      </c>
      <c r="C868" s="16" t="inlineStr">
        <is>
          <t>イベント後の体験</t>
        </is>
      </c>
      <c r="D868" s="13" t="inlineStr">
        <is>
          <t>✅</t>
        </is>
      </c>
      <c r="E868" s="16" t="inlineStr">
        <is>
          <t>公式</t>
        </is>
      </c>
      <c r="F868" s="17" t="inlineStr">
        <is>
          <t>https://www.street-academy.com/guideline</t>
        </is>
      </c>
      <c r="G868" s="16" t="inlineStr">
        <is>
          <t>満足度レーティングとレビュー投稿、受講証明書、講座後のメッセージがある。開催終了後1週間は先生が全額返金可</t>
        </is>
      </c>
    </row>
    <row r="869">
      <c r="A869" s="16" t="inlineStr">
        <is>
          <t>ストアカ</t>
        </is>
      </c>
      <c r="B869" s="16" t="inlineStr">
        <is>
          <t>SH01</t>
        </is>
      </c>
      <c r="C869" s="16" t="inlineStr">
        <is>
          <t>共有用URL・OGPカード</t>
        </is>
      </c>
      <c r="D869" s="13" t="inlineStr">
        <is>
          <t>？</t>
        </is>
      </c>
      <c r="E869" s="16" t="inlineStr">
        <is>
          <t>なし</t>
        </is>
      </c>
      <c r="F869" s="16" t="inlineStr"/>
      <c r="G869" s="16" t="inlineStr">
        <is>
          <t>共有URLのOGPカード表示は確認できなかった</t>
        </is>
      </c>
    </row>
    <row r="870">
      <c r="A870" s="16" t="inlineStr">
        <is>
          <t>ストアカ</t>
        </is>
      </c>
      <c r="B870" s="16" t="inlineStr">
        <is>
          <t>SH02</t>
        </is>
      </c>
      <c r="C870" s="16" t="inlineStr">
        <is>
          <t>SNS・メッセージ共有ボタン</t>
        </is>
      </c>
      <c r="D870" s="13" t="inlineStr">
        <is>
          <t>△</t>
        </is>
      </c>
      <c r="E870" s="16" t="inlineStr">
        <is>
          <t>公式</t>
        </is>
      </c>
      <c r="F870" s="17" t="inlineStr">
        <is>
          <t>https://www.street-academy.com/myclass/206811</t>
        </is>
      </c>
      <c r="G870" s="16" t="inlineStr">
        <is>
          <t>講座ページに確認できた共有ボタンはX(ツイート)のみ。Facebook・LINEは確認できず</t>
        </is>
      </c>
    </row>
    <row r="871">
      <c r="A871" s="16" t="inlineStr">
        <is>
          <t>ストアカ</t>
        </is>
      </c>
      <c r="B871" s="16" t="inlineStr">
        <is>
          <t>SH03</t>
        </is>
      </c>
      <c r="C871" s="16" t="inlineStr">
        <is>
          <t>友人・同行者の招待導線</t>
        </is>
      </c>
      <c r="D871" s="13" t="inlineStr">
        <is>
          <t>✅</t>
        </is>
      </c>
      <c r="E871" s="16" t="inlineStr">
        <is>
          <t>公式</t>
        </is>
      </c>
      <c r="F871" s="17" t="inlineStr">
        <is>
          <t>https://www.street-academy.com/friend_invites/about</t>
        </is>
      </c>
      <c r="G871" s="16" t="inlineStr">
        <is>
          <t>友達招待プログラム(招待リンク)があり、友達が初回受講すると双方に100pt、友達が先生になると双方に3000pt。グロース根拠は不明(効果の定量値なし)</t>
        </is>
      </c>
    </row>
    <row r="872">
      <c r="A872" s="16" t="inlineStr">
        <is>
          <t>ストアカ</t>
        </is>
      </c>
      <c r="B872" s="16" t="inlineStr">
        <is>
          <t>SH04</t>
        </is>
      </c>
      <c r="C872" s="16" t="inlineStr">
        <is>
          <t>紹介リンク・紹介の可視化</t>
        </is>
      </c>
      <c r="D872" s="13" t="inlineStr">
        <is>
          <t>✅</t>
        </is>
      </c>
      <c r="E872" s="16" t="inlineStr">
        <is>
          <t>公式</t>
        </is>
      </c>
      <c r="F872" s="17" t="inlineStr">
        <is>
          <t>https://www.street-academy.com/friend_invites/about</t>
        </is>
      </c>
      <c r="G872" s="16" t="inlineStr">
        <is>
          <t>招待URLで紹介経路を追跡し、招待ページに紹介者名を出す(『〇〇さんの紹介で講座が割引』)。報酬は受講100pt・先生デビュー3000pt</t>
        </is>
      </c>
    </row>
    <row r="873">
      <c r="A873" s="16" t="inlineStr">
        <is>
          <t>ストアカ</t>
        </is>
      </c>
      <c r="B873" s="16" t="inlineStr">
        <is>
          <t>SH05</t>
        </is>
      </c>
      <c r="C873" s="16" t="inlineStr">
        <is>
          <t>連絡先・SNS連携で友人発見</t>
        </is>
      </c>
      <c r="D873" s="13" t="inlineStr">
        <is>
          <t>？</t>
        </is>
      </c>
      <c r="E873" s="16" t="inlineStr">
        <is>
          <t>なし</t>
        </is>
      </c>
      <c r="F873" s="16" t="inlineStr"/>
      <c r="G873" s="16" t="inlineStr">
        <is>
          <t>LINE・Facebookログインはあるが、友人の発見・招待は確認できなかった</t>
        </is>
      </c>
    </row>
    <row r="874">
      <c r="A874" s="16" t="inlineStr">
        <is>
          <t>ストアカ</t>
        </is>
      </c>
      <c r="B874" s="16" t="inlineStr">
        <is>
          <t>SH06</t>
        </is>
      </c>
      <c r="C874" s="16" t="inlineStr">
        <is>
          <t>社会的証明の表示</t>
        </is>
      </c>
      <c r="D874" s="13" t="inlineStr">
        <is>
          <t>✅</t>
        </is>
      </c>
      <c r="E874" s="16" t="inlineStr">
        <is>
          <t>公式</t>
        </is>
      </c>
      <c r="F874" s="17" t="inlineStr">
        <is>
          <t>https://www.street-academy.com/myclass/206811</t>
        </is>
      </c>
      <c r="G874" s="16" t="inlineStr">
        <is>
          <t>受けた人数、開催回数、『受けたい』登録数、『1週間以内に○人が予約』、レビュー件数を表示する</t>
        </is>
      </c>
    </row>
    <row r="875">
      <c r="A875" s="16" t="inlineStr">
        <is>
          <t>ストアカ</t>
        </is>
      </c>
      <c r="B875" s="16" t="inlineStr">
        <is>
          <t>SH07</t>
        </is>
      </c>
      <c r="C875" s="16" t="inlineStr">
        <is>
          <t>QR・短縮URL・チラシ生成</t>
        </is>
      </c>
      <c r="D875" s="13" t="inlineStr">
        <is>
          <t>✅</t>
        </is>
      </c>
      <c r="E875" s="16" t="inlineStr">
        <is>
          <t>公式</t>
        </is>
      </c>
      <c r="F875" s="17" t="inlineStr">
        <is>
          <t>https://support.street-academy.com/hc/ja/articles/115001376604-QR%E3%82%B3%E3%83%BC%E3%83%89-%E3%83%81%E3%83%A9%E3%82%B7%E4%BD%9C%E6%88%90%E6%A9%9F%E8%83%BD%E3%81%A8%E3%81%AF%E3%81%AA%E3%82%93%E3%81%A7%E3%81%99%E3%81%8B-</t>
        </is>
      </c>
      <c r="G875" s="16" t="inlineStr">
        <is>
          <t>先生ページ・講座ページのQRコードとチラシの作成機能がある(ポスター・名刺に掲載して予約導線にする)。ヘルプ本文は403で直接読めず検索結果の要約経由</t>
        </is>
      </c>
    </row>
    <row r="876">
      <c r="A876" s="16" t="inlineStr">
        <is>
          <t>ストアカ</t>
        </is>
      </c>
      <c r="B876" s="16" t="inlineStr">
        <is>
          <t>SH08</t>
        </is>
      </c>
      <c r="C876" s="16" t="inlineStr">
        <is>
          <t>埋め込みウィジェット</t>
        </is>
      </c>
      <c r="D876" s="13" t="inlineStr">
        <is>
          <t>？</t>
        </is>
      </c>
      <c r="E876" s="16" t="inlineStr">
        <is>
          <t>なし</t>
        </is>
      </c>
      <c r="F876" s="16" t="inlineStr"/>
      <c r="G876" s="16" t="inlineStr">
        <is>
          <t>埋め込みウィジェットは確認できなかった</t>
        </is>
      </c>
    </row>
    <row r="877">
      <c r="A877" s="16" t="inlineStr">
        <is>
          <t>ストアカ</t>
        </is>
      </c>
      <c r="B877" s="16" t="inlineStr">
        <is>
          <t>OP01</t>
        </is>
      </c>
      <c r="C877" s="16" t="inlineStr">
        <is>
          <t>簡単な作成</t>
        </is>
      </c>
      <c r="D877" s="13" t="inlineStr">
        <is>
          <t>△</t>
        </is>
      </c>
      <c r="E877" s="16" t="inlineStr">
        <is>
          <t>公式</t>
        </is>
      </c>
      <c r="F877" s="17" t="inlineStr">
        <is>
          <t>https://www.street-academy.com/guideline</t>
        </is>
      </c>
      <c r="G877" s="16" t="inlineStr">
        <is>
          <t>講座作成画面から作成できるが、公開には本人確認と事務局の掲載審査(3営業日以内)が必要。月額サービスも同様</t>
        </is>
      </c>
    </row>
    <row r="878">
      <c r="A878" s="16" t="inlineStr">
        <is>
          <t>ストアカ</t>
        </is>
      </c>
      <c r="B878" s="16" t="inlineStr">
        <is>
          <t>OP02</t>
        </is>
      </c>
      <c r="C878" s="16" t="inlineStr">
        <is>
          <t>コピー・繰り返し作成</t>
        </is>
      </c>
      <c r="D878" s="13" t="inlineStr">
        <is>
          <t>△</t>
        </is>
      </c>
      <c r="E878" s="16" t="inlineStr">
        <is>
          <t>公式</t>
        </is>
      </c>
      <c r="F878" s="17" t="inlineStr">
        <is>
          <t>https://support.street-academy.com/hc/ja/articles/360011879339-%E6%97%A5%E7%A8%8B%E3%82%92%E8%BF%BD%E5%8A%A0%E3%81%99%E3%82%8B-%E5%8D%98%E7%99%BA</t>
        </is>
      </c>
      <c r="G878" s="16" t="inlineStr">
        <is>
          <t>先生マイページで講座に日程を追加できる(単発・コース)。講座の複製は確認できず。ヘルプ本文は403で直接読めず検索結果の要約経由</t>
        </is>
      </c>
    </row>
    <row r="879">
      <c r="A879" s="16" t="inlineStr">
        <is>
          <t>ストアカ</t>
        </is>
      </c>
      <c r="B879" s="16" t="inlineStr">
        <is>
          <t>OP03</t>
        </is>
      </c>
      <c r="C879" s="16" t="inlineStr">
        <is>
          <t>下書き・限定公開</t>
        </is>
      </c>
      <c r="D879" s="13" t="inlineStr">
        <is>
          <t>✅</t>
        </is>
      </c>
      <c r="E879" s="16" t="inlineStr">
        <is>
          <t>公式</t>
        </is>
      </c>
      <c r="F879" s="17" t="inlineStr">
        <is>
          <t>https://support.street-academy.com/hc/ja/articles/360013054440-%E7%89%B9%E5%AE%9A%E3%81%AE%E4%BA%BA%E3%81%A0%E3%81%91%E3%81%8C%E4%BA%88%E7%B4%84%E3%81%8C%E3%81%A7%E3%81%8D%E3%82%8B%E6%97%A5%E7%A8%8B%E3%82%92%E5%85%AC%E9%96%8B%E3%81%99%E3%82%8B-%E9%99%90%E5%AE%9A%E5%85%AC%E9%96%8B%E6%97%A5%E7%A8%8B</t>
        </is>
      </c>
      <c r="G879" s="16" t="inlineStr">
        <is>
          <t>下書き保存は自由で、特定の人だけが予約できる『限定公開日程』を設定できる。ヘルプ本文は403で直接読めず検索結果の要約経由</t>
        </is>
      </c>
    </row>
    <row r="880">
      <c r="A880" s="16" t="inlineStr">
        <is>
          <t>ストアカ</t>
        </is>
      </c>
      <c r="B880" s="16" t="inlineStr">
        <is>
          <t>OP04</t>
        </is>
      </c>
      <c r="C880" s="16" t="inlineStr">
        <is>
          <t>AI作成支援</t>
        </is>
      </c>
      <c r="D880" s="13" t="inlineStr">
        <is>
          <t>？</t>
        </is>
      </c>
      <c r="E880" s="16" t="inlineStr">
        <is>
          <t>なし</t>
        </is>
      </c>
      <c r="F880" s="16" t="inlineStr"/>
      <c r="G880" s="16" t="inlineStr">
        <is>
          <t>AI作成支援の公式発表は確認できなかった(ChatGPTで講座を作る講座が出品されているのみ)</t>
        </is>
      </c>
    </row>
    <row r="881">
      <c r="A881" s="16" t="inlineStr">
        <is>
          <t>ストアカ</t>
        </is>
      </c>
      <c r="B881" s="16" t="inlineStr">
        <is>
          <t>OP05</t>
        </is>
      </c>
      <c r="C881" s="16" t="inlineStr">
        <is>
          <t>共同主催・運営メンバー権限</t>
        </is>
      </c>
      <c r="D881" s="13" t="inlineStr">
        <is>
          <t>✅</t>
        </is>
      </c>
      <c r="E881" s="16" t="inlineStr">
        <is>
          <t>公式</t>
        </is>
      </c>
      <c r="F881" s="17" t="inlineStr">
        <is>
          <t>https://support.street-academy.com/hc/ja/articles/360000922190-%E4%B8%BB%E5%82%AC%E5%9B%A3%E4%BD%93%E3%81%AE%E7%AE%A1%E7%90%86%E3%83%A1%E3%83%B3%E3%83%90%E3%83%BC%E3%81%AE%E8%BF%BD%E5%8A%A0%E6%96%B9%E6%B3%95%E3%82%92%E6%95%99%E3%81%88%E3%81%A6%E3%81%8F%E3%81%A0%E3%81%95%E3%81%84</t>
        </is>
      </c>
      <c r="G881" s="16" t="inlineStr">
        <is>
          <t>主催団体にオーナーと管理メンバーを追加でき、管理メンバーは口座情報の変更以外の全メニューを使える。講座ごとに講師を割り当てる。ヘルプ本文は403で直接読めず検索結果の要約経由</t>
        </is>
      </c>
    </row>
    <row r="882">
      <c r="A882" s="16" t="inlineStr">
        <is>
          <t>ストアカ</t>
        </is>
      </c>
      <c r="B882" s="16" t="inlineStr">
        <is>
          <t>OP06</t>
        </is>
      </c>
      <c r="C882" s="16" t="inlineStr">
        <is>
          <t>参加者管理・名簿出力</t>
        </is>
      </c>
      <c r="D882" s="13" t="inlineStr">
        <is>
          <t>△</t>
        </is>
      </c>
      <c r="E882" s="16" t="inlineStr">
        <is>
          <t>公式</t>
        </is>
      </c>
      <c r="F882" s="17" t="inlineStr">
        <is>
          <t>https://support.street-academy.com/hc/ja/articles/201104345-%E4%BA%88%E7%B4%84%E3%81%97%E3%81%9F%E7%94%9F%E5%BE%92%E3%81%AB%E3%83%A1%E3%83%83%E3%82%BB%E3%83%BC%E3%82%B8%E3%82%92%E9%80%81%E3%82%8B</t>
        </is>
      </c>
      <c r="G882" s="16" t="inlineStr">
        <is>
          <t>先生マイページの『生徒/お知らせ配信』で予約者と過去の受講生を検索・メモ・タグ付けできる。名簿のCSV出力は確認できず。ヘルプ本文は403で直接読めず検索結果の要約経由</t>
        </is>
      </c>
    </row>
    <row r="883">
      <c r="A883" s="16" t="inlineStr">
        <is>
          <t>ストアカ</t>
        </is>
      </c>
      <c r="B883" s="16" t="inlineStr">
        <is>
          <t>OP07</t>
        </is>
      </c>
      <c r="C883" s="16" t="inlineStr">
        <is>
          <t>一斉メッセージ</t>
        </is>
      </c>
      <c r="D883" s="13" t="inlineStr">
        <is>
          <t>✅</t>
        </is>
      </c>
      <c r="E883" s="16" t="inlineStr">
        <is>
          <t>公式</t>
        </is>
      </c>
      <c r="F883" s="17" t="inlineStr">
        <is>
          <t>https://www.street-academy.com/fee</t>
        </is>
      </c>
      <c r="G883" s="16" t="inlineStr">
        <is>
          <t>メッセージ・メール配信は無料。予約者全員へのグループメッセージと、受けたい登録者・過去受講者へのお知らせ配信がある(夜間22時〜9時の送信は9時以降に配信)</t>
        </is>
      </c>
    </row>
    <row r="884">
      <c r="A884" s="16" t="inlineStr">
        <is>
          <t>ストアカ</t>
        </is>
      </c>
      <c r="B884" s="16" t="inlineStr">
        <is>
          <t>OP08</t>
        </is>
      </c>
      <c r="C884" s="16" t="inlineStr">
        <is>
          <t>当日運営ツール</t>
        </is>
      </c>
      <c r="D884" s="13" t="inlineStr">
        <is>
          <t>？</t>
        </is>
      </c>
      <c r="E884" s="16" t="inlineStr">
        <is>
          <t>なし</t>
        </is>
      </c>
      <c r="F884" s="16" t="inlineStr"/>
      <c r="G884" s="16" t="inlineStr">
        <is>
          <t>出席確認・当日名簿の機能は確認できなかった(オンライン講座の視聴URLは予約履歴から確認)</t>
        </is>
      </c>
    </row>
    <row r="885">
      <c r="A885" s="16" t="inlineStr">
        <is>
          <t>ストアカ</t>
        </is>
      </c>
      <c r="B885" s="16" t="inlineStr">
        <is>
          <t>OP09</t>
        </is>
      </c>
      <c r="C885" s="16" t="inlineStr">
        <is>
          <t>売上・入金管理</t>
        </is>
      </c>
      <c r="D885" s="13" t="inlineStr">
        <is>
          <t>△</t>
        </is>
      </c>
      <c r="E885" s="16" t="inlineStr">
        <is>
          <t>公式</t>
        </is>
      </c>
      <c r="F885" s="17" t="inlineStr">
        <is>
          <t>https://www.street-academy.com/teach</t>
        </is>
      </c>
      <c r="G885" s="16" t="inlineStr">
        <is>
          <t>受講料の集金・入金確認はストアカが代行する。売上確認画面・入金サイクル・振込手数料は料金ページに記載がない</t>
        </is>
      </c>
    </row>
    <row r="886">
      <c r="A886" s="16" t="inlineStr">
        <is>
          <t>ストアカ</t>
        </is>
      </c>
      <c r="B886" s="16" t="inlineStr">
        <is>
          <t>OP10</t>
        </is>
      </c>
      <c r="C886" s="16" t="inlineStr">
        <is>
          <t>流入・申込の分析</t>
        </is>
      </c>
      <c r="D886" s="13" t="inlineStr">
        <is>
          <t>△</t>
        </is>
      </c>
      <c r="E886" s="16" t="inlineStr">
        <is>
          <t>公式</t>
        </is>
      </c>
      <c r="F886" s="17" t="inlineStr">
        <is>
          <t>https://teach.street-academy.com/blog/three-key-points-in-web-analytics</t>
        </is>
      </c>
      <c r="G886" s="16" t="inlineStr">
        <is>
          <t>先生ダッシュボードのアクセス解析でアクセス数・受けたい数・予約数を日別グラフで見られる。流入元・UTMの記載はない</t>
        </is>
      </c>
    </row>
    <row r="887">
      <c r="A887" s="16" t="inlineStr">
        <is>
          <t>ストアカ</t>
        </is>
      </c>
      <c r="B887" s="16" t="inlineStr">
        <is>
          <t>OP11</t>
        </is>
      </c>
      <c r="C887" s="16" t="inlineStr">
        <is>
          <t>主催者ページ・グループページ</t>
        </is>
      </c>
      <c r="D887" s="13" t="inlineStr">
        <is>
          <t>✅</t>
        </is>
      </c>
      <c r="E887" s="16" t="inlineStr">
        <is>
          <t>公式</t>
        </is>
      </c>
      <c r="F887" s="17" t="inlineStr">
        <is>
          <t>https://www.street-academy.com/teach</t>
        </is>
      </c>
      <c r="G887" s="16" t="inlineStr">
        <is>
          <t>先生ページ・主催団体ページに教えた人数・口コミ・バッジを表示する</t>
        </is>
      </c>
    </row>
    <row r="888">
      <c r="A888" s="16" t="inlineStr">
        <is>
          <t>ストアカ</t>
        </is>
      </c>
      <c r="B888" s="16" t="inlineStr">
        <is>
          <t>OP12</t>
        </is>
      </c>
      <c r="C888" s="16" t="inlineStr">
        <is>
          <t>外部ツール連携・API</t>
        </is>
      </c>
      <c r="D888" s="13" t="inlineStr">
        <is>
          <t>？</t>
        </is>
      </c>
      <c r="E888" s="16" t="inlineStr">
        <is>
          <t>なし</t>
        </is>
      </c>
      <c r="F888" s="16" t="inlineStr"/>
      <c r="G888" s="16" t="inlineStr">
        <is>
          <t>API・外部ツール連携は確認できなかった(オンライン講座はZoom等を先生が各自用意)</t>
        </is>
      </c>
    </row>
    <row r="889">
      <c r="A889" s="16" t="inlineStr">
        <is>
          <t>ストアカ</t>
        </is>
      </c>
      <c r="B889" s="16" t="inlineStr">
        <is>
          <t>AC01</t>
        </is>
      </c>
      <c r="C889" s="16" t="inlineStr">
        <is>
          <t>無料イベントは無料</t>
        </is>
      </c>
      <c r="D889" s="13" t="inlineStr">
        <is>
          <t>❌</t>
        </is>
      </c>
      <c r="E889" s="16" t="inlineStr">
        <is>
          <t>公式</t>
        </is>
      </c>
      <c r="F889" s="17" t="inlineStr">
        <is>
          <t>https://www.street-academy.com/guideline</t>
        </is>
      </c>
      <c r="G889" s="16" t="inlineStr">
        <is>
          <t>無料・実質無料の講座は掲載不可(受講料は1000円以上)。手数料は売れたときのみ発生する</t>
        </is>
      </c>
    </row>
    <row r="890">
      <c r="A890" s="16" t="inlineStr">
        <is>
          <t>ストアカ</t>
        </is>
      </c>
      <c r="B890" s="16" t="inlineStr">
        <is>
          <t>AC02</t>
        </is>
      </c>
      <c r="C890" s="16" t="inlineStr">
        <is>
          <t>手数料負担の選択</t>
        </is>
      </c>
      <c r="D890" s="13" t="inlineStr">
        <is>
          <t>？</t>
        </is>
      </c>
      <c r="E890" s="16" t="inlineStr">
        <is>
          <t>なし</t>
        </is>
      </c>
      <c r="F890" s="16" t="inlineStr"/>
      <c r="G890" s="16" t="inlineStr">
        <is>
          <t>手数料は受講料総額から差し引く(先生負担)との記載のみで、購入者負担を選ぶ機能は確認できなかった</t>
        </is>
      </c>
    </row>
    <row r="891">
      <c r="A891" s="16" t="inlineStr">
        <is>
          <t>ストアカ</t>
        </is>
      </c>
      <c r="B891" s="16" t="inlineStr">
        <is>
          <t>AC03</t>
        </is>
      </c>
      <c r="C891" s="16" t="inlineStr">
        <is>
          <t>参加者データの所有・出力</t>
        </is>
      </c>
      <c r="D891" s="13" t="inlineStr">
        <is>
          <t>△</t>
        </is>
      </c>
      <c r="E891" s="16" t="inlineStr">
        <is>
          <t>公式</t>
        </is>
      </c>
      <c r="F891" s="17" t="inlineStr">
        <is>
          <t>https://www.street-academy.com/guideline</t>
        </is>
      </c>
      <c r="G891" s="16" t="inlineStr">
        <is>
          <t>予約者・過去受講生はマイページで検索・タグ付けできるが、メール・LINE等の連絡先の掲載や登録の条件化は規約で禁止。名簿CSV出力は確認できず</t>
        </is>
      </c>
    </row>
    <row r="892">
      <c r="A892" s="16" t="inlineStr">
        <is>
          <t>ストアカ</t>
        </is>
      </c>
      <c r="B892" s="16" t="inlineStr">
        <is>
          <t>AC04</t>
        </is>
      </c>
      <c r="C892" s="16" t="inlineStr">
        <is>
          <t>他サービスからの移行</t>
        </is>
      </c>
      <c r="D892" s="13" t="inlineStr">
        <is>
          <t>？</t>
        </is>
      </c>
      <c r="E892" s="16" t="inlineStr">
        <is>
          <t>なし</t>
        </is>
      </c>
      <c r="F892" s="16" t="inlineStr"/>
      <c r="G892" s="16" t="inlineStr">
        <is>
          <t>他サービスからの移行支援は確認できなかった</t>
        </is>
      </c>
    </row>
    <row r="893">
      <c r="A893" s="16" t="inlineStr">
        <is>
          <t>ストアカ</t>
        </is>
      </c>
      <c r="B893" s="16" t="inlineStr">
        <is>
          <t>AC05</t>
        </is>
      </c>
      <c r="C893" s="16" t="inlineStr">
        <is>
          <t>主催者紹介・アンバサダー</t>
        </is>
      </c>
      <c r="D893" s="13" t="inlineStr">
        <is>
          <t>✅</t>
        </is>
      </c>
      <c r="E893" s="16" t="inlineStr">
        <is>
          <t>公式</t>
        </is>
      </c>
      <c r="F893" s="17" t="inlineStr">
        <is>
          <t>https://www.street-academy.com/friend_invites/about</t>
        </is>
      </c>
      <c r="G893" s="16" t="inlineStr">
        <is>
          <t>友達招待で先生を紹介すると、友達が日程を設定して開催した時点で双方に3000ptが付く</t>
        </is>
      </c>
    </row>
    <row r="894">
      <c r="A894" s="16" t="inlineStr">
        <is>
          <t>ストアカ</t>
        </is>
      </c>
      <c r="B894" s="16" t="inlineStr">
        <is>
          <t>AC06</t>
        </is>
      </c>
      <c r="C894" s="16" t="inlineStr">
        <is>
          <t>主催者向け教育・テンプレ</t>
        </is>
      </c>
      <c r="D894" s="13" t="inlineStr">
        <is>
          <t>✅</t>
        </is>
      </c>
      <c r="E894" s="16" t="inlineStr">
        <is>
          <t>公式</t>
        </is>
      </c>
      <c r="F894" s="17" t="inlineStr">
        <is>
          <t>https://teach.street-academy.com/</t>
        </is>
      </c>
      <c r="G894" s="16" t="inlineStr">
        <is>
          <t>先生向けノウハウサイト『教えルン』(集客・検索順位・アクセス解析・Zoomの記事)、公式セミナー、マニュアル、先生同士のコミュニティ・交流会がある。グロース根拠あり(既存の概観文書: 地域コーディネーターによる先生への個別伴走)</t>
        </is>
      </c>
    </row>
    <row r="895">
      <c r="A895" s="16" t="inlineStr">
        <is>
          <t>ストアカ</t>
        </is>
      </c>
      <c r="B895" s="16" t="inlineStr">
        <is>
          <t>AC07</t>
        </is>
      </c>
      <c r="C895" s="16" t="inlineStr">
        <is>
          <t>集客支援の商品</t>
        </is>
      </c>
      <c r="D895" s="13" t="inlineStr">
        <is>
          <t>？</t>
        </is>
      </c>
      <c r="E895" s="16" t="inlineStr">
        <is>
          <t>なし</t>
        </is>
      </c>
      <c r="F895" s="16" t="inlineStr"/>
      <c r="G895" s="16" t="inlineStr">
        <is>
          <t>広告・ブーストなどの主催者向け有料集客商品は確認できなかった(集客機能・クーポンは無料)</t>
        </is>
      </c>
    </row>
    <row r="896">
      <c r="A896" s="16" t="inlineStr">
        <is>
          <t>ストアカ</t>
        </is>
      </c>
      <c r="B896" s="16" t="inlineStr">
        <is>
          <t>AC08</t>
        </is>
      </c>
      <c r="C896" s="16" t="inlineStr">
        <is>
          <t>運営主催・公式イベント</t>
        </is>
      </c>
      <c r="D896" s="13" t="inlineStr">
        <is>
          <t>✅</t>
        </is>
      </c>
      <c r="E896" s="16" t="inlineStr">
        <is>
          <t>公式</t>
        </is>
      </c>
      <c r="F896" s="17" t="inlineStr">
        <is>
          <t>https://corp.street-academy.com/news/</t>
        </is>
      </c>
      <c r="G896" s="16" t="inlineStr">
        <is>
          <t>ストアカ主催イベント『関西スキルシェアカンファレンス』(2025-08)、『オフィスク リスキリングカレッジ』開講(2025-08)、蔦屋書店での講座開催(2025-12)がある</t>
        </is>
      </c>
    </row>
    <row r="897">
      <c r="A897" s="16" t="inlineStr">
        <is>
          <t>ストアカ</t>
        </is>
      </c>
      <c r="B897" s="16" t="inlineStr">
        <is>
          <t>CR01</t>
        </is>
      </c>
      <c r="C897" s="16" t="inlineStr">
        <is>
          <t>ダイジェスト・おすすめ通知</t>
        </is>
      </c>
      <c r="D897" s="13" t="inlineStr">
        <is>
          <t>✅</t>
        </is>
      </c>
      <c r="E897" s="16" t="inlineStr">
        <is>
          <t>公式</t>
        </is>
      </c>
      <c r="F897" s="17" t="inlineStr">
        <is>
          <t>https://support.street-academy.com/hc/ja/articles/115000097664-%E3%83%A1%E3%83%BC%E3%83%AB%E3%82%84%E3%82%A2%E3%83%97%E3%83%AA%E3%81%AE%E9%80%9A%E7%9F%A5%E8%A8%AD%E5%AE%9A%E3%82%92%E5%A4%89%E6%9B%B4%E3%81%97%E3%81%9F%E3%81%84</t>
        </is>
      </c>
      <c r="G897" s="16" t="inlineStr">
        <is>
          <t>通知設定に『受けたい講座のご案内』『先生からのご案内』『編集部ピックアップ講座』があり、メール・アプリPushで届く。ヘルプ本文は403で直接読めず検索結果の要約経由</t>
        </is>
      </c>
    </row>
    <row r="898">
      <c r="A898" s="16" t="inlineStr">
        <is>
          <t>ストアカ</t>
        </is>
      </c>
      <c r="B898" s="16" t="inlineStr">
        <is>
          <t>CR02</t>
        </is>
      </c>
      <c r="C898" s="16" t="inlineStr">
        <is>
          <t>自動メンバー化</t>
        </is>
      </c>
      <c r="D898" s="13" t="inlineStr">
        <is>
          <t>✅</t>
        </is>
      </c>
      <c r="E898" s="16" t="inlineStr">
        <is>
          <t>公式</t>
        </is>
      </c>
      <c r="F898" s="17" t="inlineStr">
        <is>
          <t>https://support.street-academy.com/hc/ja/articles/200714999--%E5%8F%97%E3%81%91%E3%81%9F%E3%81%84%E7%99%BB%E9%8C%B2-%E3%82%92%E3%81%97%E3%81%A6%E3%81%84%E3%82%8B%E4%BA%BA%E3%81%AB%E9%96%8B%E5%82%AC%E3%81%AE%E5%91%8A%E7%9F%A5%E3%82%92%E3%81%99%E3%82%8B</t>
        </is>
      </c>
      <c r="G898" s="16" t="inlineStr">
        <is>
          <t>『先生からのご案内』は受けたい登録者と過去の受講者が自動で対象になる(先生単位で受信拒否可)。ヘルプ本文は403で直接読めず検索結果の要約経由</t>
        </is>
      </c>
    </row>
    <row r="899">
      <c r="A899" s="16" t="inlineStr">
        <is>
          <t>ストアカ</t>
        </is>
      </c>
      <c r="B899" s="16" t="inlineStr">
        <is>
          <t>CR03</t>
        </is>
      </c>
      <c r="C899" s="16" t="inlineStr">
        <is>
          <t>前回参加者への優先案内</t>
        </is>
      </c>
      <c r="D899" s="13" t="inlineStr">
        <is>
          <t>✅</t>
        </is>
      </c>
      <c r="E899" s="16" t="inlineStr">
        <is>
          <t>公式</t>
        </is>
      </c>
      <c r="F899" s="17" t="inlineStr">
        <is>
          <t>https://support.street-academy.com/hc/ja/articles/360013054440-%E7%89%B9%E5%AE%9A%E3%81%AE%E4%BA%BA%E3%81%A0%E3%81%91%E3%81%8C%E4%BA%88%E7%B4%84%E3%81%8C%E3%81%A7%E3%81%8D%E3%82%8B%E6%97%A5%E7%A8%8B%E3%82%92%E5%85%AC%E9%96%8B%E3%81%99%E3%82%8B-%E9%99%90%E5%AE%9A%E5%85%AC%E9%96%8B%E6%97%A5%E7%A8%8B</t>
        </is>
      </c>
      <c r="G899" s="16" t="inlineStr">
        <is>
          <t>過去の受講者・受けたい登録者へのお知らせ配信と、特定の人だけが予約できる限定公開日程で先行案内できる。ヘルプ本文は403で直接読めず検索結果の要約経由</t>
        </is>
      </c>
    </row>
    <row r="900">
      <c r="A900" s="16" t="inlineStr">
        <is>
          <t>ストアカ</t>
        </is>
      </c>
      <c r="B900" s="16" t="inlineStr">
        <is>
          <t>CR04</t>
        </is>
      </c>
      <c r="C900" s="16" t="inlineStr">
        <is>
          <t>主催者CRM・購読者リスト</t>
        </is>
      </c>
      <c r="D900" s="13" t="inlineStr">
        <is>
          <t>✅</t>
        </is>
      </c>
      <c r="E900" s="16" t="inlineStr">
        <is>
          <t>公式</t>
        </is>
      </c>
      <c r="F900" s="17" t="inlineStr">
        <is>
          <t>https://support.street-academy.com/hc/ja/articles/201104345-%E4%BA%88%E7%B4%84%E3%81%97%E3%81%9F%E7%94%9F%E5%BE%92%E3%81%AB%E3%83%A1%E3%83%83%E3%82%BB%E3%83%BC%E3%82%B8%E3%82%92%E9%80%81%E3%82%8B</t>
        </is>
      </c>
      <c r="G900" s="16" t="inlineStr">
        <is>
          <t>『生徒/お知らせ配信』で過去の受講生と予約中の生徒を条件検索し、メモ・タグ付けして配信できる。月額サービス(2021-01)は先生提供の定額型で、グロース根拠あり(定期・会員施策、自己申告)。ヘルプ本文は403で直接読めず検索結果の要約経由</t>
        </is>
      </c>
    </row>
    <row r="901">
      <c r="A901" s="16" t="inlineStr">
        <is>
          <t>ストアカ</t>
        </is>
      </c>
      <c r="B901" s="16" t="inlineStr">
        <is>
          <t>CR05</t>
        </is>
      </c>
      <c r="C901" s="16" t="inlineStr">
        <is>
          <t>参加履歴・バッジ・実績</t>
        </is>
      </c>
      <c r="D901" s="13" t="inlineStr">
        <is>
          <t>✅</t>
        </is>
      </c>
      <c r="E901" s="16" t="inlineStr">
        <is>
          <t>公式</t>
        </is>
      </c>
      <c r="F901" s="17" t="inlineStr">
        <is>
          <t>https://www.street-academy.com/badge</t>
        </is>
      </c>
      <c r="G901" s="16" t="inlineStr">
        <is>
          <t>ブルー・シルバー・ゴールド・プラチナとPro(2024-07新設)のバッジランクと教えた人数を表示する。グロース根拠あり(公式が『信用の証』で予約が入りやすいと説明)</t>
        </is>
      </c>
    </row>
    <row r="902">
      <c r="A902" s="16" t="inlineStr">
        <is>
          <t>ストアカ</t>
        </is>
      </c>
      <c r="B902" s="16" t="inlineStr">
        <is>
          <t>CR06</t>
        </is>
      </c>
      <c r="C902" s="16" t="inlineStr">
        <is>
          <t>レビュー・評価</t>
        </is>
      </c>
      <c r="D902" s="13" t="inlineStr">
        <is>
          <t>✅</t>
        </is>
      </c>
      <c r="E902" s="16" t="inlineStr">
        <is>
          <t>公式</t>
        </is>
      </c>
      <c r="F902" s="17" t="inlineStr">
        <is>
          <t>https://www.street-academy.com/about</t>
        </is>
      </c>
      <c r="G902" s="16" t="inlineStr">
        <is>
          <t>満足度レーティングと口コミを公開し、直近のレビュー数は検索順位の評価軸にもなる。グロース根拠あり(実名・審査・レビューの安心設計)</t>
        </is>
      </c>
    </row>
    <row r="903">
      <c r="A903" s="16" t="inlineStr">
        <is>
          <t>ストアカ</t>
        </is>
      </c>
      <c r="B903" s="16" t="inlineStr">
        <is>
          <t>CR07</t>
        </is>
      </c>
      <c r="C903" s="16" t="inlineStr">
        <is>
          <t>グループチャット・掲示板</t>
        </is>
      </c>
      <c r="D903" s="13" t="inlineStr">
        <is>
          <t>✅</t>
        </is>
      </c>
      <c r="E903" s="16" t="inlineStr">
        <is>
          <t>公式</t>
        </is>
      </c>
      <c r="F903" s="17" t="inlineStr">
        <is>
          <t>https://www.street-academy.com/subscription_service_guideline</t>
        </is>
      </c>
      <c r="G903" s="16" t="inlineStr">
        <is>
          <t>予約者向けのグループメッセージ・個別メッセージと先生への質問がある。月額サービスのコミュニティは外部ツール併用可。参加者同士の掲示板は確認できず</t>
        </is>
      </c>
    </row>
    <row r="904">
      <c r="A904" s="16" t="inlineStr">
        <is>
          <t>ストアカ</t>
        </is>
      </c>
      <c r="B904" s="16" t="inlineStr">
        <is>
          <t>CR08</t>
        </is>
      </c>
      <c r="C904" s="16" t="inlineStr">
        <is>
          <t>年間まとめ・振り返り共有</t>
        </is>
      </c>
      <c r="D904" s="13" t="inlineStr">
        <is>
          <t>？</t>
        </is>
      </c>
      <c r="E904" s="16" t="inlineStr">
        <is>
          <t>なし</t>
        </is>
      </c>
      <c r="F904" s="16" t="inlineStr"/>
      <c r="G904" s="16" t="inlineStr">
        <is>
          <t>個人向けの年間まとめ・振り返り共有は確認できなかった(ストアカアワードは運営選定の表彰)</t>
        </is>
      </c>
    </row>
    <row r="905">
      <c r="A905" s="16" t="inlineStr">
        <is>
          <t>ストアカ</t>
        </is>
      </c>
      <c r="B905" s="16" t="inlineStr">
        <is>
          <t>TS01</t>
        </is>
      </c>
      <c r="C905" s="16" t="inlineStr">
        <is>
          <t>本人確認・認証</t>
        </is>
      </c>
      <c r="D905" s="13" t="inlineStr">
        <is>
          <t>✅</t>
        </is>
      </c>
      <c r="E905" s="16" t="inlineStr">
        <is>
          <t>公式</t>
        </is>
      </c>
      <c r="F905" s="17" t="inlineStr">
        <is>
          <t>https://www.street-academy.com/guideline</t>
        </is>
      </c>
      <c r="G905" s="16" t="inlineStr">
        <is>
          <t>実名制で本人確認書類(7種から1点)の提示が必要。会社概要は『一定の開催実績後に提出』と記載しており食い違い</t>
        </is>
      </c>
    </row>
    <row r="906">
      <c r="A906" s="16" t="inlineStr">
        <is>
          <t>ストアカ</t>
        </is>
      </c>
      <c r="B906" s="16" t="inlineStr">
        <is>
          <t>TS02</t>
        </is>
      </c>
      <c r="C906" s="16" t="inlineStr">
        <is>
          <t>主催者の審査・認定</t>
        </is>
      </c>
      <c r="D906" s="13" t="inlineStr">
        <is>
          <t>✅</t>
        </is>
      </c>
      <c r="E906" s="16" t="inlineStr">
        <is>
          <t>公式</t>
        </is>
      </c>
      <c r="F906" s="17" t="inlineStr">
        <is>
          <t>https://www.street-academy.com/about</t>
        </is>
      </c>
      <c r="G906" s="16" t="inlineStr">
        <is>
          <t>掲載する全サービスを運営事務局が事前審査(3営業日以内)し、主催団体は登記簿等で確認する。バッジランクもある</t>
        </is>
      </c>
    </row>
    <row r="907">
      <c r="A907" s="16" t="inlineStr">
        <is>
          <t>ストアカ</t>
        </is>
      </c>
      <c r="B907" s="16" t="inlineStr">
        <is>
          <t>TS03</t>
        </is>
      </c>
      <c r="C907" s="16" t="inlineStr">
        <is>
          <t>通報・ブロック・モデレーション</t>
        </is>
      </c>
      <c r="D907" s="13" t="inlineStr">
        <is>
          <t>✅</t>
        </is>
      </c>
      <c r="E907" s="16" t="inlineStr">
        <is>
          <t>公式</t>
        </is>
      </c>
      <c r="F907" s="17" t="inlineStr">
        <is>
          <t>https://www.street-academy.com/guideline</t>
        </is>
      </c>
      <c r="G907" s="16" t="inlineStr">
        <is>
          <t>ガイドライン違反への警告・公開停止・権利剥奪・アカウント停止、生徒の異議申立て、レビュー不正の対処がある。生徒個人のブロック機能は確認できず</t>
        </is>
      </c>
    </row>
    <row r="908">
      <c r="A908" s="16" t="inlineStr">
        <is>
          <t>ストアカ</t>
        </is>
      </c>
      <c r="B908" s="16" t="inlineStr">
        <is>
          <t>TS04</t>
        </is>
      </c>
      <c r="C908" s="16" t="inlineStr">
        <is>
          <t>ドタキャン対策</t>
        </is>
      </c>
      <c r="D908" s="13" t="inlineStr">
        <is>
          <t>✅</t>
        </is>
      </c>
      <c r="E908" s="16" t="inlineStr">
        <is>
          <t>公式</t>
        </is>
      </c>
      <c r="F908" s="17" t="inlineStr">
        <is>
          <t>https://www.street-academy.com/guideline</t>
        </is>
      </c>
      <c r="G908" s="16" t="inlineStr">
        <is>
          <t>全額事前決済で、締切後の生徒都合のキャンセルは返金なし。独自のキャンセルポリシーは設定できない</t>
        </is>
      </c>
    </row>
    <row r="909">
      <c r="A909" s="16" t="inlineStr">
        <is>
          <t>ストアカ</t>
        </is>
      </c>
      <c r="B909" s="16" t="inlineStr">
        <is>
          <t>TS05</t>
        </is>
      </c>
      <c r="C909" s="16" t="inlineStr">
        <is>
          <t>参加者情報の保護</t>
        </is>
      </c>
      <c r="D909" s="13" t="inlineStr">
        <is>
          <t>△</t>
        </is>
      </c>
      <c r="E909" s="16" t="inlineStr">
        <is>
          <t>公式</t>
        </is>
      </c>
      <c r="F909" s="17" t="inlineStr">
        <is>
          <t>https://support.street-academy.com/hc/ja/articles/360010790440-%E5%8F%97%E3%81%91%E3%81%9F%E3%81%84%E7%99%BB%E9%8C%B2%E3%82%92%E3%81%99%E3%82%8B</t>
        </is>
      </c>
      <c r="G909" s="16" t="inlineStr">
        <is>
          <t>『受けたい』登録者の氏名は予約するまで先生に開示されない。参加者一覧の公開は確認できず。ヘルプ本文は403で直接読めず検索結果の要約経由</t>
        </is>
      </c>
    </row>
    <row r="910">
      <c r="A910" s="16" t="inlineStr">
        <is>
          <t>ストアカ</t>
        </is>
      </c>
      <c r="B910" s="16" t="inlineStr">
        <is>
          <t>TS06</t>
        </is>
      </c>
      <c r="C910" s="16" t="inlineStr">
        <is>
          <t>直接取引の抑止</t>
        </is>
      </c>
      <c r="D910" s="13" t="inlineStr">
        <is>
          <t>✅</t>
        </is>
      </c>
      <c r="E910" s="16" t="inlineStr">
        <is>
          <t>公式</t>
        </is>
      </c>
      <c r="F910" s="17" t="inlineStr">
        <is>
          <t>https://www.street-academy.com/guideline</t>
        </is>
      </c>
      <c r="G910" s="16" t="inlineStr">
        <is>
          <t>外部誘導・直接徴収・LINE/メルマガ登録の必須化を禁止し、講師の連絡先の掲載も不可。違反は警告から停止まで。グロース根拠あり(安心設計の一部)だが講師側の不満も報告(既存の概観文書)</t>
        </is>
      </c>
    </row>
    <row r="911">
      <c r="A911" s="16" t="inlineStr">
        <is>
          <t>ストアカ</t>
        </is>
      </c>
      <c r="B911" s="16" t="inlineStr">
        <is>
          <t>FD01</t>
        </is>
      </c>
      <c r="C911" s="16" t="inlineStr">
        <is>
          <t>メニューの事前注文・選択</t>
        </is>
      </c>
      <c r="D911" s="13" t="inlineStr">
        <is>
          <t>？</t>
        </is>
      </c>
      <c r="E911" s="16" t="inlineStr">
        <is>
          <t>なし</t>
        </is>
      </c>
      <c r="F911" s="16" t="inlineStr"/>
      <c r="G911" s="16" t="inlineStr">
        <is>
          <t>料理・ドリンクの選択機能は確認できなかった</t>
        </is>
      </c>
    </row>
    <row r="912">
      <c r="A912" s="16" t="inlineStr">
        <is>
          <t>ストアカ</t>
        </is>
      </c>
      <c r="B912" s="16" t="inlineStr">
        <is>
          <t>FD02</t>
        </is>
      </c>
      <c r="C912" s="16" t="inlineStr">
        <is>
          <t>アレルギー・食の好みの登録</t>
        </is>
      </c>
      <c r="D912" s="13" t="inlineStr">
        <is>
          <t>？</t>
        </is>
      </c>
      <c r="E912" s="16" t="inlineStr">
        <is>
          <t>なし</t>
        </is>
      </c>
      <c r="F912" s="16" t="inlineStr"/>
      <c r="G912" s="16" t="inlineStr">
        <is>
          <t>アレルギー・食の好みの登録は確認できなかった</t>
        </is>
      </c>
    </row>
    <row r="913">
      <c r="A913" s="16" t="inlineStr">
        <is>
          <t>ストアカ</t>
        </is>
      </c>
      <c r="B913" s="16" t="inlineStr">
        <is>
          <t>FD03</t>
        </is>
      </c>
      <c r="C913" s="16" t="inlineStr">
        <is>
          <t>店舗向け管理画面</t>
        </is>
      </c>
      <c r="D913" s="13" t="inlineStr">
        <is>
          <t>？</t>
        </is>
      </c>
      <c r="E913" s="16" t="inlineStr">
        <is>
          <t>なし</t>
        </is>
      </c>
      <c r="F913" s="16" t="inlineStr"/>
      <c r="G913" s="16" t="inlineStr">
        <is>
          <t>店舗向けの注文管理画面は確認できなかった(主催団体マイページは講座・予約の管理)</t>
        </is>
      </c>
    </row>
    <row r="914">
      <c r="A914" s="16" t="inlineStr">
        <is>
          <t>ストアカ</t>
        </is>
      </c>
      <c r="B914" s="16" t="inlineStr">
        <is>
          <t>FD04</t>
        </is>
      </c>
      <c r="C914" s="16" t="inlineStr">
        <is>
          <t>人数確定の店舗通知・集計</t>
        </is>
      </c>
      <c r="D914" s="13" t="inlineStr">
        <is>
          <t>？</t>
        </is>
      </c>
      <c r="E914" s="16" t="inlineStr">
        <is>
          <t>なし</t>
        </is>
      </c>
      <c r="F914" s="16" t="inlineStr"/>
      <c r="G914" s="16" t="inlineStr">
        <is>
          <t>人数・注文の店舗通知は確認できなかった</t>
        </is>
      </c>
    </row>
    <row r="915">
      <c r="A915" s="16" t="inlineStr">
        <is>
          <t>ストアカ</t>
        </is>
      </c>
      <c r="B915" s="16" t="inlineStr">
        <is>
          <t>FD05</t>
        </is>
      </c>
      <c r="C915" s="16" t="inlineStr">
        <is>
          <t>席の確保・貸切の連携</t>
        </is>
      </c>
      <c r="D915" s="13" t="inlineStr">
        <is>
          <t>？</t>
        </is>
      </c>
      <c r="E915" s="16" t="inlineStr">
        <is>
          <t>なし</t>
        </is>
      </c>
      <c r="F915" s="16" t="inlineStr"/>
      <c r="G915" s="16" t="inlineStr">
        <is>
          <t>席・貸切の確保連携は確認できなかった</t>
        </is>
      </c>
    </row>
    <row r="916">
      <c r="A916" s="16" t="inlineStr">
        <is>
          <t>ストアカ</t>
        </is>
      </c>
      <c r="B916" s="16" t="inlineStr">
        <is>
          <t>FD06</t>
        </is>
      </c>
      <c r="C916" s="16" t="inlineStr">
        <is>
          <t>コース・固定メニュー</t>
        </is>
      </c>
      <c r="D916" s="13" t="inlineStr">
        <is>
          <t>？</t>
        </is>
      </c>
      <c r="E916" s="16" t="inlineStr">
        <is>
          <t>なし</t>
        </is>
      </c>
      <c r="F916" s="16" t="inlineStr"/>
      <c r="G916" s="16" t="inlineStr">
        <is>
          <t>コース・固定メニューの選択は確認できなかった(コース講座は複数回の講座)</t>
        </is>
      </c>
    </row>
    <row r="917">
      <c r="A917" s="16" t="inlineStr">
        <is>
          <t>ストアカ</t>
        </is>
      </c>
      <c r="B917" s="16" t="inlineStr">
        <is>
          <t>FD07</t>
        </is>
      </c>
      <c r="C917" s="16" t="inlineStr">
        <is>
          <t>割り勘・個別会計</t>
        </is>
      </c>
      <c r="D917" s="13" t="inlineStr">
        <is>
          <t>？</t>
        </is>
      </c>
      <c r="E917" s="16" t="inlineStr">
        <is>
          <t>なし</t>
        </is>
      </c>
      <c r="F917" s="16" t="inlineStr"/>
      <c r="G917" s="16" t="inlineStr">
        <is>
          <t>割り勘・個別会計は確認できなかった(団体受講は代表者のまとめ申込)</t>
        </is>
      </c>
    </row>
    <row r="918">
      <c r="A918" s="16" t="inlineStr">
        <is>
          <t>ストアカ</t>
        </is>
      </c>
      <c r="B918" s="16" t="inlineStr">
        <is>
          <t>FD08</t>
        </is>
      </c>
      <c r="C918" s="16" t="inlineStr">
        <is>
          <t>店探し・店選び支援</t>
        </is>
      </c>
      <c r="D918" s="13" t="inlineStr">
        <is>
          <t>△</t>
        </is>
      </c>
      <c r="E918" s="16" t="inlineStr">
        <is>
          <t>公式</t>
        </is>
      </c>
      <c r="F918" s="17" t="inlineStr">
        <is>
          <t>https://www.street-academy.com/spaces</t>
        </is>
      </c>
      <c r="G918" s="16" t="inlineStr">
        <is>
          <t>講座の開催場所を探す『スペースコンシェル』(レンタルスペース・カフェ・レストランなどを駅徒歩・料金・設備で検索)がある。飲食店の比較・予約ではない</t>
        </is>
      </c>
    </row>
    <row r="919">
      <c r="A919" s="16" t="inlineStr">
        <is>
          <t>ストアカ</t>
        </is>
      </c>
      <c r="B919" s="16" t="inlineStr">
        <is>
          <t>FD09</t>
        </is>
      </c>
      <c r="C919" s="16" t="inlineStr">
        <is>
          <t>売り切れ・限定数の管理</t>
        </is>
      </c>
      <c r="D919" s="13" t="inlineStr">
        <is>
          <t>？</t>
        </is>
      </c>
      <c r="E919" s="16" t="inlineStr">
        <is>
          <t>なし</t>
        </is>
      </c>
      <c r="F919" s="16" t="inlineStr"/>
      <c r="G919" s="16" t="inlineStr">
        <is>
          <t>売り切れ・限定数の管理(メニュー単位)は確認できなかった(日程ごとの定員・残席はある)</t>
        </is>
      </c>
    </row>
    <row r="920">
      <c r="A920" s="16" t="inlineStr">
        <is>
          <t>ストアカ</t>
        </is>
      </c>
      <c r="B920" s="16" t="inlineStr">
        <is>
          <t>FD10</t>
        </is>
      </c>
      <c r="C920" s="16" t="inlineStr">
        <is>
          <t>提供形態の選択</t>
        </is>
      </c>
      <c r="D920" s="13" t="inlineStr">
        <is>
          <t>？</t>
        </is>
      </c>
      <c r="E920" s="16" t="inlineStr">
        <is>
          <t>なし</t>
        </is>
      </c>
      <c r="F920" s="16" t="inlineStr"/>
      <c r="G920" s="16" t="inlineStr">
        <is>
          <t>提供形態(イートイン・テイクアウト等)の選択は確認できなかった(対面・オンラインの区分はある)</t>
        </is>
      </c>
    </row>
    <row r="921">
      <c r="A921" s="16" t="inlineStr">
        <is>
          <t>ストアカ</t>
        </is>
      </c>
      <c r="B921" s="16" t="inlineStr">
        <is>
          <t>MN01</t>
        </is>
      </c>
      <c r="C921" s="16" t="inlineStr">
        <is>
          <t>手数料の明示</t>
        </is>
      </c>
      <c r="D921" s="13" t="inlineStr">
        <is>
          <t>✅</t>
        </is>
      </c>
      <c r="E921" s="16" t="inlineStr">
        <is>
          <t>公式</t>
        </is>
      </c>
      <c r="F921" s="17" t="inlineStr">
        <is>
          <t>https://www.street-academy.com/fee</t>
        </is>
      </c>
      <c r="G921" s="16" t="inlineStr">
        <is>
          <t>初回は自己集客10%・ストアカ経由30%(対面20%)、再受講10%、月額サービスの2ヶ月目以降10%と公開。グロース根拠あり(経路別手数料)</t>
        </is>
      </c>
    </row>
    <row r="922">
      <c r="A922" s="16" t="inlineStr">
        <is>
          <t>ストアカ</t>
        </is>
      </c>
      <c r="B922" s="16" t="inlineStr">
        <is>
          <t>MN02</t>
        </is>
      </c>
      <c r="C922" s="16" t="inlineStr">
        <is>
          <t>主催者向け有料プラン</t>
        </is>
      </c>
      <c r="D922" s="13" t="inlineStr">
        <is>
          <t>❌</t>
        </is>
      </c>
      <c r="E922" s="16" t="inlineStr">
        <is>
          <t>公式</t>
        </is>
      </c>
      <c r="F922" s="17" t="inlineStr">
        <is>
          <t>https://www.street-academy.com/fee</t>
        </is>
      </c>
      <c r="G922" s="16" t="inlineStr">
        <is>
          <t>先生登録は無料で初期費用・月額費用がなく手数料のみ。個別サポートは有料。先生が提供する月額サービス(2021-01)はプラットフォームの主催者向けプランではない</t>
        </is>
      </c>
    </row>
    <row r="923">
      <c r="A923" s="16" t="inlineStr">
        <is>
          <t>ストアカ</t>
        </is>
      </c>
      <c r="B923" s="16" t="inlineStr">
        <is>
          <t>MN03</t>
        </is>
      </c>
      <c r="C923" s="16" t="inlineStr">
        <is>
          <t>任意チップ・寄付</t>
        </is>
      </c>
      <c r="D923" s="13" t="inlineStr">
        <is>
          <t>？</t>
        </is>
      </c>
      <c r="E923" s="16" t="inlineStr">
        <is>
          <t>なし</t>
        </is>
      </c>
      <c r="F923" s="16" t="inlineStr"/>
      <c r="G923" s="16" t="inlineStr">
        <is>
          <t>任意のチップ・寄付は確認できなかった</t>
        </is>
      </c>
    </row>
    <row r="924">
      <c r="A924" s="16" t="inlineStr">
        <is>
          <t>ストアカ</t>
        </is>
      </c>
      <c r="B924" s="16" t="inlineStr">
        <is>
          <t>MN04</t>
        </is>
      </c>
      <c r="C924" s="16" t="inlineStr">
        <is>
          <t>クーポン・割引コード</t>
        </is>
      </c>
      <c r="D924" s="13" t="inlineStr">
        <is>
          <t>✅</t>
        </is>
      </c>
      <c r="E924" s="16" t="inlineStr">
        <is>
          <t>公式</t>
        </is>
      </c>
      <c r="F924" s="17" t="inlineStr">
        <is>
          <t>https://www.street-academy.com/fee</t>
        </is>
      </c>
      <c r="G924" s="16" t="inlineStr">
        <is>
          <t>先生はクーポン配布を無料で使え、運営の友達招待クーポン・お年玉クーポンもある。早割は講座設定で指定できる(ガイドライン記載)</t>
        </is>
      </c>
    </row>
    <row r="925">
      <c r="A925" s="16" t="inlineStr">
        <is>
          <t>ストアカ</t>
        </is>
      </c>
      <c r="B925" s="16" t="inlineStr">
        <is>
          <t>MN05</t>
        </is>
      </c>
      <c r="C925" s="16" t="inlineStr">
        <is>
          <t>ポイント・会員特典</t>
        </is>
      </c>
      <c r="D925" s="13" t="inlineStr">
        <is>
          <t>✅</t>
        </is>
      </c>
      <c r="E925" s="16" t="inlineStr">
        <is>
          <t>公式</t>
        </is>
      </c>
      <c r="F925" s="17" t="inlineStr">
        <is>
          <t>https://www.street-academy.com/</t>
        </is>
      </c>
      <c r="G925" s="16" t="inlineStr">
        <is>
          <t>ポイント制(1pt=1円相当で予約に利用)があり、LINE登録で100pt、友達招待でも付与する(ポイント換算は招待ヘルプの検索要約による)</t>
        </is>
      </c>
    </row>
    <row r="926">
      <c r="A926" s="16" t="inlineStr">
        <is>
          <t>Timeleft</t>
        </is>
      </c>
      <c r="B926" s="16" t="inlineStr">
        <is>
          <t>DS01</t>
        </is>
      </c>
      <c r="C926" s="16" t="inlineStr">
        <is>
          <t>キーワード・カテゴリ検索</t>
        </is>
      </c>
      <c r="D926" s="13" t="inlineStr">
        <is>
          <t>△</t>
        </is>
      </c>
      <c r="E926" s="16" t="inlineStr">
        <is>
          <t>公式</t>
        </is>
      </c>
      <c r="F926" s="17" t="inlineStr">
        <is>
          <t>https://help.timeleft.com/hc/en-150/articles/28532932215964-How-Do-I-Book-an-Event</t>
        </is>
      </c>
      <c r="G926" s="16" t="inlineStr">
        <is>
          <t>予約画面でイベント種別(夕食・コーヒー・ラン・ドリンク)と日付を選ぶ形。キーワード検索は確認できず。</t>
        </is>
      </c>
    </row>
    <row r="927">
      <c r="A927" s="16" t="inlineStr">
        <is>
          <t>Timeleft</t>
        </is>
      </c>
      <c r="B927" s="16" t="inlineStr">
        <is>
          <t>DS02</t>
        </is>
      </c>
      <c r="C927" s="16" t="inlineStr">
        <is>
          <t>地域・地図検索</t>
        </is>
      </c>
      <c r="D927" s="13" t="inlineStr">
        <is>
          <t>✅</t>
        </is>
      </c>
      <c r="E927" s="16" t="inlineStr">
        <is>
          <t>公式</t>
        </is>
      </c>
      <c r="F927" s="17" t="inlineStr">
        <is>
          <t>https://timeleft.com/locations/</t>
        </is>
      </c>
      <c r="G927" s="16" t="inlineStr">
        <is>
          <t>都市別の選択(52か国・200都市超、都市別ページ)と、予約時の近隣エリア選択(App Store)。地図・駅検索は確認できず。</t>
        </is>
      </c>
    </row>
    <row r="928">
      <c r="A928" s="16" t="inlineStr">
        <is>
          <t>Timeleft</t>
        </is>
      </c>
      <c r="B928" s="16" t="inlineStr">
        <is>
          <t>DS03</t>
        </is>
      </c>
      <c r="C928" s="16" t="inlineStr">
        <is>
          <t>日付・価格等の絞り込み</t>
        </is>
      </c>
      <c r="D928" s="13" t="inlineStr">
        <is>
          <t>△</t>
        </is>
      </c>
      <c r="E928" s="16" t="inlineStr">
        <is>
          <t>公式</t>
        </is>
      </c>
      <c r="F928" s="17" t="inlineStr">
        <is>
          <t>https://help.timeleft.com/hc/en-150/articles/28532932215964-How-Do-I-Book-an-Event</t>
        </is>
      </c>
      <c r="G928" s="16" t="inlineStr">
        <is>
          <t>日付・言語・予算帯・食の希望を予約条件として指定する方式。一覧を絞り込むUIではない。東京は曜日固定の開催(水・金の夕食など)。</t>
        </is>
      </c>
    </row>
    <row r="929">
      <c r="A929" s="16" t="inlineStr">
        <is>
          <t>Timeleft</t>
        </is>
      </c>
      <c r="B929" s="16" t="inlineStr">
        <is>
          <t>DS04</t>
        </is>
      </c>
      <c r="C929" s="16" t="inlineStr">
        <is>
          <t>パーソナライズ推薦</t>
        </is>
      </c>
      <c r="D929" s="13" t="inlineStr">
        <is>
          <t>？</t>
        </is>
      </c>
      <c r="E929" s="16" t="inlineStr">
        <is>
          <t>なし</t>
        </is>
      </c>
      <c r="F929" s="16" t="inlineStr"/>
      <c r="G929" s="16" t="inlineStr">
        <is>
          <t>イベント推薦フィードの記述なし。『推薦』は卓編成(約50問の性格テストによる人のマッチング)であり、イベント推薦とは別。</t>
        </is>
      </c>
    </row>
    <row r="930">
      <c r="A930" s="16" t="inlineStr">
        <is>
          <t>Timeleft</t>
        </is>
      </c>
      <c r="B930" s="16" t="inlineStr">
        <is>
          <t>DS05</t>
        </is>
      </c>
      <c r="C930" s="16" t="inlineStr">
        <is>
          <t>フォロー</t>
        </is>
      </c>
      <c r="D930" s="13" t="inlineStr">
        <is>
          <t>？</t>
        </is>
      </c>
      <c r="E930" s="16" t="inlineStr">
        <is>
          <t>なし</t>
        </is>
      </c>
      <c r="F930" s="16" t="inlineStr"/>
      <c r="G930" s="16" t="inlineStr">
        <is>
          <t>主催者・店のフォローは確認できず。同卓者は終了後に自動でConnection(JN12・CR02)になる。</t>
        </is>
      </c>
    </row>
    <row r="931">
      <c r="A931" s="16" t="inlineStr">
        <is>
          <t>Timeleft</t>
        </is>
      </c>
      <c r="B931" s="16" t="inlineStr">
        <is>
          <t>DS06</t>
        </is>
      </c>
      <c r="C931" s="16" t="inlineStr">
        <is>
          <t>ブックマーク・ウィッシュリスト</t>
        </is>
      </c>
      <c r="D931" s="13" t="inlineStr">
        <is>
          <t>？</t>
        </is>
      </c>
      <c r="E931" s="16" t="inlineStr">
        <is>
          <t>なし</t>
        </is>
      </c>
      <c r="F931" s="16" t="inlineStr"/>
      <c r="G931" s="16" t="inlineStr">
        <is>
          <t>ブックマーク・ウィッシュリストの記述なし。</t>
        </is>
      </c>
    </row>
    <row r="932">
      <c r="A932" s="16" t="inlineStr">
        <is>
          <t>Timeleft</t>
        </is>
      </c>
      <c r="B932" s="16" t="inlineStr">
        <is>
          <t>DS07</t>
        </is>
      </c>
      <c r="C932" s="16" t="inlineStr">
        <is>
          <t>公開ディレクトリ・都市×カテゴリページ</t>
        </is>
      </c>
      <c r="D932" s="13" t="inlineStr">
        <is>
          <t>✅</t>
        </is>
      </c>
      <c r="E932" s="16" t="inlineStr">
        <is>
          <t>公式</t>
        </is>
      </c>
      <c r="F932" s="17" t="inlineStr">
        <is>
          <t>https://timeleft.com/locations/</t>
        </is>
      </c>
      <c r="G932" s="16" t="inlineStr">
        <is>
          <t>都市ごとの公開ページ(/tokyo/ /nyc/ など約195都市)を持ち、検索流入と登録導線になる。</t>
        </is>
      </c>
    </row>
    <row r="933">
      <c r="A933" s="16" t="inlineStr">
        <is>
          <t>Timeleft</t>
        </is>
      </c>
      <c r="B933" s="16" t="inlineStr">
        <is>
          <t>DS08</t>
        </is>
      </c>
      <c r="C933" s="16" t="inlineStr">
        <is>
          <t>キュレーション・特集</t>
        </is>
      </c>
      <c r="D933" s="13" t="inlineStr">
        <is>
          <t>△</t>
        </is>
      </c>
      <c r="E933" s="16" t="inlineStr">
        <is>
          <t>公式</t>
        </is>
      </c>
      <c r="F933" s="17" t="inlineStr">
        <is>
          <t>https://timeleft.com/tokyo/</t>
        </is>
      </c>
      <c r="G933" s="16" t="inlineStr">
        <is>
          <t>運営が店を選定し東京ページで会員の人気店を紹介。イベントの特集・ランキング面は確認できず。</t>
        </is>
      </c>
    </row>
    <row r="934">
      <c r="A934" s="16" t="inlineStr">
        <is>
          <t>Timeleft</t>
        </is>
      </c>
      <c r="B934" s="16" t="inlineStr">
        <is>
          <t>JN01</t>
        </is>
      </c>
      <c r="C934" s="16" t="inlineStr">
        <is>
          <t>アカウント不要の申込</t>
        </is>
      </c>
      <c r="D934" s="13" t="inlineStr">
        <is>
          <t>❌</t>
        </is>
      </c>
      <c r="E934" s="16" t="inlineStr">
        <is>
          <t>公式</t>
        </is>
      </c>
      <c r="F934" s="17" t="inlineStr">
        <is>
          <t>https://help.timeleft.com/hc/en-150/articles/28530549963804-How-Do-I-Sign-Up</t>
        </is>
      </c>
      <c r="G934" s="16" t="inlineStr">
        <is>
          <t>予約にはアカウント(メールまたはソーシャルログイン)と有効なサブスクリプションが必要。アカウントは先に作り購読は後でも可。</t>
        </is>
      </c>
    </row>
    <row r="935">
      <c r="A935" s="16" t="inlineStr">
        <is>
          <t>Timeleft</t>
        </is>
      </c>
      <c r="B935" s="16" t="inlineStr">
        <is>
          <t>JN02</t>
        </is>
      </c>
      <c r="C935" s="16" t="inlineStr">
        <is>
          <t>簡易ログイン</t>
        </is>
      </c>
      <c r="D935" s="13" t="inlineStr">
        <is>
          <t>✅</t>
        </is>
      </c>
      <c r="E935" s="16" t="inlineStr">
        <is>
          <t>公式</t>
        </is>
      </c>
      <c r="F935" s="17" t="inlineStr">
        <is>
          <t>https://help.timeleft.com/hc/en-150/articles/28530549963804-How-Do-I-Sign-Up</t>
        </is>
      </c>
      <c r="G935" s="16" t="inlineStr">
        <is>
          <t>メールまたはソーシャルログインで登録。電話番号認証は予約前に必須(TS01)。</t>
        </is>
      </c>
    </row>
    <row r="936">
      <c r="A936" s="16" t="inlineStr">
        <is>
          <t>Timeleft</t>
        </is>
      </c>
      <c r="B936" s="16" t="inlineStr">
        <is>
          <t>JN03</t>
        </is>
      </c>
      <c r="C936" s="16" t="inlineStr">
        <is>
          <t>承認制・参加申請</t>
        </is>
      </c>
      <c r="D936" s="13" t="inlineStr">
        <is>
          <t>❌</t>
        </is>
      </c>
      <c r="E936" s="16" t="inlineStr">
        <is>
          <t>公式</t>
        </is>
      </c>
      <c r="F936" s="17" t="inlineStr">
        <is>
          <t>https://help.timeleft.com/hc/en-150/articles/28529250732444-What-is-Timeleft-and-How-Does-It-Work</t>
        </is>
      </c>
      <c r="G936" s="16" t="inlineStr">
        <is>
          <t>【モデル上なし】Timeleft 運営がイベントを自社開催し利用者は予約するだけ(ヘルプの仕組み説明)。参加者の可否は運営のマッチング(卓編成)が決める。</t>
        </is>
      </c>
    </row>
    <row r="937">
      <c r="A937" s="16" t="inlineStr">
        <is>
          <t>Timeleft</t>
        </is>
      </c>
      <c r="B937" s="16" t="inlineStr">
        <is>
          <t>JN04</t>
        </is>
      </c>
      <c r="C937" s="16" t="inlineStr">
        <is>
          <t>ウェイトリスト</t>
        </is>
      </c>
      <c r="D937" s="13" t="inlineStr">
        <is>
          <t>△</t>
        </is>
      </c>
      <c r="E937" s="16" t="inlineStr">
        <is>
          <t>公式</t>
        </is>
      </c>
      <c r="F937" s="17" t="inlineStr">
        <is>
          <t>https://apps.apple.com/us/app/timeleft-make-new-friends-irl/id6466442949</t>
        </is>
      </c>
      <c r="G937" s="16" t="inlineStr">
        <is>
          <t>App Store の更新履歴に『一部都市でウェイトリスト機能』(v5.7.0)。満席時のキャンセル待ちか未提供都市の待機かは未詳。サインアップ時に未提供都市向けの待機登録もある(ヘルプ)。</t>
        </is>
      </c>
    </row>
    <row r="938">
      <c r="A938" s="16" t="inlineStr">
        <is>
          <t>Timeleft</t>
        </is>
      </c>
      <c r="B938" s="16" t="inlineStr">
        <is>
          <t>JN05</t>
        </is>
      </c>
      <c r="C938" s="16" t="inlineStr">
        <is>
          <t>定員・残席の表示</t>
        </is>
      </c>
      <c r="D938" s="13" t="inlineStr">
        <is>
          <t>？</t>
        </is>
      </c>
      <c r="E938" s="16" t="inlineStr">
        <is>
          <t>なし</t>
        </is>
      </c>
      <c r="F938" s="16" t="inlineStr"/>
      <c r="G938" s="16" t="inlineStr">
        <is>
          <t>定員・残席の表示は確認できず。卓は4〜6人(日本ページ・App Store)。予約は開催13時間前に締切。</t>
        </is>
      </c>
    </row>
    <row r="939">
      <c r="A939" s="16" t="inlineStr">
        <is>
          <t>Timeleft</t>
        </is>
      </c>
      <c r="B939" s="16" t="inlineStr">
        <is>
          <t>JN06</t>
        </is>
      </c>
      <c r="C939" s="16" t="inlineStr">
        <is>
          <t>追加質問・同行者の入力</t>
        </is>
      </c>
      <c r="D939" s="13" t="inlineStr">
        <is>
          <t>✅</t>
        </is>
      </c>
      <c r="E939" s="16" t="inlineStr">
        <is>
          <t>公式</t>
        </is>
      </c>
      <c r="F939" s="17" t="inlineStr">
        <is>
          <t>https://help.timeleft.com/hc/en-150/articles/27957183804828-How-Do-I-Invite-a-Guest</t>
        </is>
      </c>
      <c r="G939" s="16" t="inlineStr">
        <is>
          <t>予約時に言語・予算・食の希望を入力。サインアップに約5分のアンケート。+1(同行者)を最大5人のConnectionまたはリンクで招待。</t>
        </is>
      </c>
    </row>
    <row r="940">
      <c r="A940" s="16" t="inlineStr">
        <is>
          <t>Timeleft</t>
        </is>
      </c>
      <c r="B940" s="16" t="inlineStr">
        <is>
          <t>JN07</t>
        </is>
      </c>
      <c r="C940" s="16" t="inlineStr">
        <is>
          <t>参加者のセルフキャンセル</t>
        </is>
      </c>
      <c r="D940" s="13" t="inlineStr">
        <is>
          <t>✅</t>
        </is>
      </c>
      <c r="E940" s="16" t="inlineStr">
        <is>
          <t>公式</t>
        </is>
      </c>
      <c r="F940" s="17" t="inlineStr">
        <is>
          <t>https://help.timeleft.com/hc/en-150/articles/28536868572444-How-Do-I-Cancel-or-Modify-My-Reservation</t>
        </is>
      </c>
      <c r="G940" s="16" t="inlineStr">
        <is>
          <t>アプリでキャンセル可。48時間超は無料、24〜48時間は罰則の可能性、24時間未満は欠席料の可能性(TS04)。サブスク料は原則返金不可。</t>
        </is>
      </c>
    </row>
    <row r="941">
      <c r="A941" s="16" t="inlineStr">
        <is>
          <t>Timeleft</t>
        </is>
      </c>
      <c r="B941" s="16" t="inlineStr">
        <is>
          <t>JN08</t>
        </is>
      </c>
      <c r="C941" s="16" t="inlineStr">
        <is>
          <t>カレンダー追加</t>
        </is>
      </c>
      <c r="D941" s="13" t="inlineStr">
        <is>
          <t>？</t>
        </is>
      </c>
      <c r="E941" s="16" t="inlineStr">
        <is>
          <t>なし</t>
        </is>
      </c>
      <c r="F941" s="16" t="inlineStr"/>
      <c r="G941" s="16" t="inlineStr">
        <is>
          <t>カレンダー追加の記述なし。iOS はロック画面のカウントダウン(Live Activity)あり(App Store)。</t>
        </is>
      </c>
    </row>
    <row r="942">
      <c r="A942" s="16" t="inlineStr">
        <is>
          <t>Timeleft</t>
        </is>
      </c>
      <c r="B942" s="16" t="inlineStr">
        <is>
          <t>JN09</t>
        </is>
      </c>
      <c r="C942" s="16" t="inlineStr">
        <is>
          <t>開催前リマインド</t>
        </is>
      </c>
      <c r="D942" s="13" t="inlineStr">
        <is>
          <t>✅</t>
        </is>
      </c>
      <c r="E942" s="16" t="inlineStr">
        <is>
          <t>公式</t>
        </is>
      </c>
      <c r="F942" s="17" t="inlineStr">
        <is>
          <t>https://help.timeleft.com/hc/en-150/articles/28541783156380-How-Do-I-Manage-My-Notifications-and-Emails</t>
        </is>
      </c>
      <c r="G942" s="16" t="inlineStr">
        <is>
          <t>開催前にプッシュ・メールでリマインド。開催24時間前にメールで会場詳細、卓番号はアプリで1時間前に開示。日本は会場を12時間前に開示(東京ページ)。</t>
        </is>
      </c>
    </row>
    <row r="943">
      <c r="A943" s="16" t="inlineStr">
        <is>
          <t>Timeleft</t>
        </is>
      </c>
      <c r="B943" s="16" t="inlineStr">
        <is>
          <t>JN10</t>
        </is>
      </c>
      <c r="C943" s="16" t="inlineStr">
        <is>
          <t>QRチケット・当日受付</t>
        </is>
      </c>
      <c r="D943" s="13" t="inlineStr">
        <is>
          <t>？</t>
        </is>
      </c>
      <c r="E943" s="16" t="inlineStr">
        <is>
          <t>なし</t>
        </is>
      </c>
      <c r="F943" s="17" t="inlineStr">
        <is>
          <t>https://help.timeleft.com/hc/en-150/articles/28538239191068-I-Arrived-and-No-One-Showed-Up</t>
        </is>
      </c>
      <c r="G943" s="16" t="inlineStr">
        <is>
          <t>当日は店員に『Timeleft の予約』と伝え、卓番号をアプリで確認する方式。QR受付の記述なし。欠席は同卓者の報告で記録(TS04)。</t>
        </is>
      </c>
    </row>
    <row r="944">
      <c r="A944" s="16" t="inlineStr">
        <is>
          <t>Timeleft</t>
        </is>
      </c>
      <c r="B944" s="16" t="inlineStr">
        <is>
          <t>JN11</t>
        </is>
      </c>
      <c r="C944" s="16" t="inlineStr">
        <is>
          <t>参加者一覧の閲覧</t>
        </is>
      </c>
      <c r="D944" s="13" t="inlineStr">
        <is>
          <t>△</t>
        </is>
      </c>
      <c r="E944" s="16" t="inlineStr">
        <is>
          <t>公式</t>
        </is>
      </c>
      <c r="F944" s="17" t="inlineStr">
        <is>
          <t>https://timeleft.com/safety-guidelines/</t>
        </is>
      </c>
      <c r="G944" s="16" t="inlineStr">
        <is>
          <t>意図的に事前非公開。氏名・写真は開催後まで見えず、写真は開始の1時間30分後に表示(ヘルプ)。当日に卓の属性(業種・国籍など)が分かる(二次: Inquirer 2024)。同伴招待したConnectionのみParticipantsに表示。</t>
        </is>
      </c>
    </row>
    <row r="945">
      <c r="A945" s="16" t="inlineStr">
        <is>
          <t>Timeleft</t>
        </is>
      </c>
      <c r="B945" s="16" t="inlineStr">
        <is>
          <t>JN12</t>
        </is>
      </c>
      <c r="C945" s="16" t="inlineStr">
        <is>
          <t>イベント後の体験</t>
        </is>
      </c>
      <c r="D945" s="13" t="inlineStr">
        <is>
          <t>✅</t>
        </is>
      </c>
      <c r="E945" s="16" t="inlineStr">
        <is>
          <t>公式</t>
        </is>
      </c>
      <c r="F945" s="17" t="inlineStr">
        <is>
          <t>https://help.timeleft.com/hc/en-150/articles/28540292815772-What-are-Post-Events-Connections-and-Impressions</t>
        </is>
      </c>
      <c r="G945" s="16" t="inlineStr">
        <is>
          <t>Impressions(印象を共有→1対1チャット)、イベント・店のフィードバック、卓のグループチャットは開催後も継続、Connection化。</t>
        </is>
      </c>
    </row>
    <row r="946">
      <c r="A946" s="16" t="inlineStr">
        <is>
          <t>Timeleft</t>
        </is>
      </c>
      <c r="B946" s="16" t="inlineStr">
        <is>
          <t>SH01</t>
        </is>
      </c>
      <c r="C946" s="16" t="inlineStr">
        <is>
          <t>共有用URL・OGPカード</t>
        </is>
      </c>
      <c r="D946" s="13" t="inlineStr">
        <is>
          <t>？</t>
        </is>
      </c>
      <c r="E946" s="16" t="inlineStr">
        <is>
          <t>なし</t>
        </is>
      </c>
      <c r="F946" s="16" t="inlineStr"/>
      <c r="G946" s="16" t="inlineStr">
        <is>
          <t>都市別の公開ページはあるが、共有時のOGPカードの記述は確認できず。</t>
        </is>
      </c>
    </row>
    <row r="947">
      <c r="A947" s="16" t="inlineStr">
        <is>
          <t>Timeleft</t>
        </is>
      </c>
      <c r="B947" s="16" t="inlineStr">
        <is>
          <t>SH02</t>
        </is>
      </c>
      <c r="C947" s="16" t="inlineStr">
        <is>
          <t>SNS・メッセージ共有ボタン</t>
        </is>
      </c>
      <c r="D947" s="13" t="inlineStr">
        <is>
          <t>△</t>
        </is>
      </c>
      <c r="E947" s="16" t="inlineStr">
        <is>
          <t>公式</t>
        </is>
      </c>
      <c r="F947" s="17" t="inlineStr">
        <is>
          <t>https://help.timeleft.com/hc/en-150/articles/27957183804828-How-Do-I-Invite-a-Guest</t>
        </is>
      </c>
      <c r="G947" s="16" t="inlineStr">
        <is>
          <t>+1リンクをコピーまたは他アプリ経由で共有できる。LINE・X等の個別ボタンは確認できず。</t>
        </is>
      </c>
    </row>
    <row r="948">
      <c r="A948" s="16" t="inlineStr">
        <is>
          <t>Timeleft</t>
        </is>
      </c>
      <c r="B948" s="16" t="inlineStr">
        <is>
          <t>SH03</t>
        </is>
      </c>
      <c r="C948" s="16" t="inlineStr">
        <is>
          <t>友人・同行者の招待導線</t>
        </is>
      </c>
      <c r="D948" s="13" t="inlineStr">
        <is>
          <t>✅</t>
        </is>
      </c>
      <c r="E948" s="16" t="inlineStr">
        <is>
          <t>公式</t>
        </is>
      </c>
      <c r="F948" s="17" t="inlineStr">
        <is>
          <t>https://help.timeleft.com/hc/en-150/articles/27957183804828-How-Do-I-Invite-a-Guest</t>
        </is>
      </c>
      <c r="G948" s="16" t="inlineStr">
        <is>
          <t>予約後に+1招待(リンクまたは最大5人のConnection)。Repeatで過去の同卓者を次回に招待。招待された人は簡易登録で参加。</t>
        </is>
      </c>
    </row>
    <row r="949">
      <c r="A949" s="16" t="inlineStr">
        <is>
          <t>Timeleft</t>
        </is>
      </c>
      <c r="B949" s="16" t="inlineStr">
        <is>
          <t>SH04</t>
        </is>
      </c>
      <c r="C949" s="16" t="inlineStr">
        <is>
          <t>紹介リンク・紹介の可視化</t>
        </is>
      </c>
      <c r="D949" s="13" t="inlineStr">
        <is>
          <t>△</t>
        </is>
      </c>
      <c r="E949" s="16" t="inlineStr">
        <is>
          <t>公式</t>
        </is>
      </c>
      <c r="F949" s="17" t="inlineStr">
        <is>
          <t>https://timeleft.com/affiliate/</t>
        </is>
      </c>
      <c r="G949" s="16" t="inlineStr">
        <is>
          <t>参加者向けの紹介報酬・紹介の可視化は確認できず(ヘルプに報酬の記述なし)。アンバサダー向けに紹介リンクとリアルタイムの成果ダッシュボード(売上の50%)がある(AC05)。</t>
        </is>
      </c>
    </row>
    <row r="950">
      <c r="A950" s="16" t="inlineStr">
        <is>
          <t>Timeleft</t>
        </is>
      </c>
      <c r="B950" s="16" t="inlineStr">
        <is>
          <t>SH05</t>
        </is>
      </c>
      <c r="C950" s="16" t="inlineStr">
        <is>
          <t>連絡先・SNS連携で友人発見</t>
        </is>
      </c>
      <c r="D950" s="13" t="inlineStr">
        <is>
          <t>❌</t>
        </is>
      </c>
      <c r="E950" s="16" t="inlineStr">
        <is>
          <t>公式</t>
        </is>
      </c>
      <c r="F950" s="17" t="inlineStr">
        <is>
          <t>https://help.timeleft.com/hc/en-150/articles/28540389917852-How-do-I-add-or-remove-a-connection</t>
        </is>
      </c>
      <c r="G950" s="16" t="inlineStr">
        <is>
          <t>Connectionは同卓者に限られ、アプリ内で外部の人を検索・招待する手段はない(ヘルプ)。連絡先・SNS同期の記述なし。+1リンクは外部の人を招けるが友人発見ではない。</t>
        </is>
      </c>
    </row>
    <row r="951">
      <c r="A951" s="16" t="inlineStr">
        <is>
          <t>Timeleft</t>
        </is>
      </c>
      <c r="B951" s="16" t="inlineStr">
        <is>
          <t>SH06</t>
        </is>
      </c>
      <c r="C951" s="16" t="inlineStr">
        <is>
          <t>社会的証明の表示</t>
        </is>
      </c>
      <c r="D951" s="13" t="inlineStr">
        <is>
          <t>△</t>
        </is>
      </c>
      <c r="E951" s="16" t="inlineStr">
        <is>
          <t>公式</t>
        </is>
      </c>
      <c r="F951" s="17" t="inlineStr">
        <is>
          <t>https://timeleft.com/tokyo/</t>
        </is>
      </c>
      <c r="G951" s="16" t="inlineStr">
        <is>
          <t>東京ページに月間予約数・新規参加者数・開催数を表示。公式サイトに会員4M+・ディナー8万回超(2026-10取得時)と口コミ。イベント単位での他者参加の表示は参加者非公開のため確認できず。</t>
        </is>
      </c>
    </row>
    <row r="952">
      <c r="A952" s="16" t="inlineStr">
        <is>
          <t>Timeleft</t>
        </is>
      </c>
      <c r="B952" s="16" t="inlineStr">
        <is>
          <t>SH07</t>
        </is>
      </c>
      <c r="C952" s="16" t="inlineStr">
        <is>
          <t>QR・短縮URL・チラシ生成</t>
        </is>
      </c>
      <c r="D952" s="13" t="inlineStr">
        <is>
          <t>？</t>
        </is>
      </c>
      <c r="E952" s="16" t="inlineStr">
        <is>
          <t>なし</t>
        </is>
      </c>
      <c r="F952" s="16" t="inlineStr"/>
      <c r="G952" s="16" t="inlineStr">
        <is>
          <t>QR・短縮URL・チラシ生成の記述なし(アンバサダーに専用リンクと資料はあるが参加者・主催者向けではない)。</t>
        </is>
      </c>
    </row>
    <row r="953">
      <c r="A953" s="16" t="inlineStr">
        <is>
          <t>Timeleft</t>
        </is>
      </c>
      <c r="B953" s="16" t="inlineStr">
        <is>
          <t>SH08</t>
        </is>
      </c>
      <c r="C953" s="16" t="inlineStr">
        <is>
          <t>埋め込みウィジェット</t>
        </is>
      </c>
      <c r="D953" s="13" t="inlineStr">
        <is>
          <t>？</t>
        </is>
      </c>
      <c r="E953" s="16" t="inlineStr">
        <is>
          <t>なし</t>
        </is>
      </c>
      <c r="F953" s="16" t="inlineStr"/>
      <c r="G953" s="16" t="inlineStr">
        <is>
          <t>埋め込みウィジェットの記述なし。</t>
        </is>
      </c>
    </row>
    <row r="954">
      <c r="A954" s="16" t="inlineStr">
        <is>
          <t>Timeleft</t>
        </is>
      </c>
      <c r="B954" s="16" t="inlineStr">
        <is>
          <t>OP01</t>
        </is>
      </c>
      <c r="C954" s="16" t="inlineStr">
        <is>
          <t>簡単な作成</t>
        </is>
      </c>
      <c r="D954" s="13" t="inlineStr">
        <is>
          <t>❌</t>
        </is>
      </c>
      <c r="E954" s="16" t="inlineStr">
        <is>
          <t>公式</t>
        </is>
      </c>
      <c r="F954" s="17" t="inlineStr">
        <is>
          <t>https://help.timeleft.com/hc/en-150/articles/28529250732444-What-is-Timeleft-and-How-Does-It-Work</t>
        </is>
      </c>
      <c r="G954" s="16" t="inlineStr">
        <is>
          <t>【モデル上なし】Timeleft 運営がイベントを自社開催し利用者は予約するだけ(ヘルプの仕組み説明)。</t>
        </is>
      </c>
    </row>
    <row r="955">
      <c r="A955" s="16" t="inlineStr">
        <is>
          <t>Timeleft</t>
        </is>
      </c>
      <c r="B955" s="16" t="inlineStr">
        <is>
          <t>OP02</t>
        </is>
      </c>
      <c r="C955" s="16" t="inlineStr">
        <is>
          <t>コピー・繰り返し作成</t>
        </is>
      </c>
      <c r="D955" s="13" t="inlineStr">
        <is>
          <t>❌</t>
        </is>
      </c>
      <c r="E955" s="16" t="inlineStr">
        <is>
          <t>公式</t>
        </is>
      </c>
      <c r="F955" s="17" t="inlineStr">
        <is>
          <t>https://help.timeleft.com/hc/en-150/articles/28529250732444-What-is-Timeleft-and-How-Does-It-Work</t>
        </is>
      </c>
      <c r="G955" s="16" t="inlineStr">
        <is>
          <t>【モデル上なし】Timeleft 運営がイベントを自社開催し利用者は予約するだけ(ヘルプの仕組み説明)。定例は運営が固定曜日(水曜夕食など)で開催。</t>
        </is>
      </c>
    </row>
    <row r="956">
      <c r="A956" s="16" t="inlineStr">
        <is>
          <t>Timeleft</t>
        </is>
      </c>
      <c r="B956" s="16" t="inlineStr">
        <is>
          <t>OP03</t>
        </is>
      </c>
      <c r="C956" s="16" t="inlineStr">
        <is>
          <t>下書き・限定公開</t>
        </is>
      </c>
      <c r="D956" s="13" t="inlineStr">
        <is>
          <t>❌</t>
        </is>
      </c>
      <c r="E956" s="16" t="inlineStr">
        <is>
          <t>公式</t>
        </is>
      </c>
      <c r="F956" s="17" t="inlineStr">
        <is>
          <t>https://help.timeleft.com/hc/en-150/articles/28529250732444-What-is-Timeleft-and-How-Does-It-Work</t>
        </is>
      </c>
      <c r="G956" s="16" t="inlineStr">
        <is>
          <t>【モデル上なし】Timeleft 運営がイベントを自社開催し利用者は予約するだけ(ヘルプの仕組み説明)。</t>
        </is>
      </c>
    </row>
    <row r="957">
      <c r="A957" s="16" t="inlineStr">
        <is>
          <t>Timeleft</t>
        </is>
      </c>
      <c r="B957" s="16" t="inlineStr">
        <is>
          <t>OP04</t>
        </is>
      </c>
      <c r="C957" s="16" t="inlineStr">
        <is>
          <t>AI作成支援</t>
        </is>
      </c>
      <c r="D957" s="13" t="inlineStr">
        <is>
          <t>❌</t>
        </is>
      </c>
      <c r="E957" s="16" t="inlineStr">
        <is>
          <t>公式</t>
        </is>
      </c>
      <c r="F957" s="17" t="inlineStr">
        <is>
          <t>https://help.timeleft.com/hc/en-150/articles/28529250732444-What-is-Timeleft-and-How-Does-It-Work</t>
        </is>
      </c>
      <c r="G957" s="16" t="inlineStr">
        <is>
          <t>【モデル上なし】Timeleft 運営がイベントを自社開催し利用者は予約するだけ(ヘルプの仕組み説明)。</t>
        </is>
      </c>
    </row>
    <row r="958">
      <c r="A958" s="16" t="inlineStr">
        <is>
          <t>Timeleft</t>
        </is>
      </c>
      <c r="B958" s="16" t="inlineStr">
        <is>
          <t>OP05</t>
        </is>
      </c>
      <c r="C958" s="16" t="inlineStr">
        <is>
          <t>共同主催・運営メンバー権限</t>
        </is>
      </c>
      <c r="D958" s="13" t="inlineStr">
        <is>
          <t>❌</t>
        </is>
      </c>
      <c r="E958" s="16" t="inlineStr">
        <is>
          <t>公式</t>
        </is>
      </c>
      <c r="F958" s="17" t="inlineStr">
        <is>
          <t>https://help.timeleft.com/hc/en-150/articles/28529250732444-What-is-Timeleft-and-How-Does-It-Work</t>
        </is>
      </c>
      <c r="G958" s="16" t="inlineStr">
        <is>
          <t>【モデル上なし】Timeleft 運営がイベントを自社開催し利用者は予約するだけ(ヘルプの仕組み説明)。</t>
        </is>
      </c>
    </row>
    <row r="959">
      <c r="A959" s="16" t="inlineStr">
        <is>
          <t>Timeleft</t>
        </is>
      </c>
      <c r="B959" s="16" t="inlineStr">
        <is>
          <t>OP06</t>
        </is>
      </c>
      <c r="C959" s="16" t="inlineStr">
        <is>
          <t>参加者管理・名簿出力</t>
        </is>
      </c>
      <c r="D959" s="13" t="inlineStr">
        <is>
          <t>❌</t>
        </is>
      </c>
      <c r="E959" s="16" t="inlineStr">
        <is>
          <t>公式</t>
        </is>
      </c>
      <c r="F959" s="17" t="inlineStr">
        <is>
          <t>https://help.timeleft.com/hc/en-150/articles/28529250732444-What-is-Timeleft-and-How-Does-It-Work</t>
        </is>
      </c>
      <c r="G959" s="16" t="inlineStr">
        <is>
          <t>【モデル上なし】Timeleft 運営がイベントを自社開催し利用者は予約するだけ(ヘルプの仕組み説明)。</t>
        </is>
      </c>
    </row>
    <row r="960">
      <c r="A960" s="16" t="inlineStr">
        <is>
          <t>Timeleft</t>
        </is>
      </c>
      <c r="B960" s="16" t="inlineStr">
        <is>
          <t>OP07</t>
        </is>
      </c>
      <c r="C960" s="16" t="inlineStr">
        <is>
          <t>一斉メッセージ</t>
        </is>
      </c>
      <c r="D960" s="13" t="inlineStr">
        <is>
          <t>❌</t>
        </is>
      </c>
      <c r="E960" s="16" t="inlineStr">
        <is>
          <t>公式</t>
        </is>
      </c>
      <c r="F960" s="17" t="inlineStr">
        <is>
          <t>https://help.timeleft.com/hc/en-150/articles/28529250732444-What-is-Timeleft-and-How-Does-It-Work</t>
        </is>
      </c>
      <c r="G960" s="16" t="inlineStr">
        <is>
          <t>【モデル上なし】Timeleft 運営がイベントを自社開催し利用者は予約するだけ(ヘルプの仕組み説明)。運営が卓のグループチャットを開設する(CR07)。</t>
        </is>
      </c>
    </row>
    <row r="961">
      <c r="A961" s="16" t="inlineStr">
        <is>
          <t>Timeleft</t>
        </is>
      </c>
      <c r="B961" s="16" t="inlineStr">
        <is>
          <t>OP08</t>
        </is>
      </c>
      <c r="C961" s="16" t="inlineStr">
        <is>
          <t>当日運営ツール</t>
        </is>
      </c>
      <c r="D961" s="13" t="inlineStr">
        <is>
          <t>❌</t>
        </is>
      </c>
      <c r="E961" s="16" t="inlineStr">
        <is>
          <t>公式</t>
        </is>
      </c>
      <c r="F961" s="17" t="inlineStr">
        <is>
          <t>https://help.timeleft.com/hc/en-150/articles/28529250732444-What-is-Timeleft-and-How-Does-It-Work</t>
        </is>
      </c>
      <c r="G961" s="16" t="inlineStr">
        <is>
          <t>【モデル上なし】Timeleft 運営がイベントを自社開催し利用者は予約するだけ(ヘルプの仕組み説明)。店員への申告と卓番号確認で運用(JN10)。</t>
        </is>
      </c>
    </row>
    <row r="962">
      <c r="A962" s="16" t="inlineStr">
        <is>
          <t>Timeleft</t>
        </is>
      </c>
      <c r="B962" s="16" t="inlineStr">
        <is>
          <t>OP09</t>
        </is>
      </c>
      <c r="C962" s="16" t="inlineStr">
        <is>
          <t>売上・入金管理</t>
        </is>
      </c>
      <c r="D962" s="13" t="inlineStr">
        <is>
          <t>❌</t>
        </is>
      </c>
      <c r="E962" s="16" t="inlineStr">
        <is>
          <t>公式</t>
        </is>
      </c>
      <c r="F962" s="17" t="inlineStr">
        <is>
          <t>https://help.timeleft.com/hc/en-150/articles/28529250732444-What-is-Timeleft-and-How-Does-It-Work</t>
        </is>
      </c>
      <c r="G962" s="16" t="inlineStr">
        <is>
          <t>【モデル上なし】Timeleft 運営がイベントを自社開催し利用者は予約するだけ(ヘルプの仕組み説明)。食事代は参加者が店へ直接支払う。</t>
        </is>
      </c>
    </row>
    <row r="963">
      <c r="A963" s="16" t="inlineStr">
        <is>
          <t>Timeleft</t>
        </is>
      </c>
      <c r="B963" s="16" t="inlineStr">
        <is>
          <t>OP10</t>
        </is>
      </c>
      <c r="C963" s="16" t="inlineStr">
        <is>
          <t>流入・申込の分析</t>
        </is>
      </c>
      <c r="D963" s="13" t="inlineStr">
        <is>
          <t>❌</t>
        </is>
      </c>
      <c r="E963" s="16" t="inlineStr">
        <is>
          <t>公式</t>
        </is>
      </c>
      <c r="F963" s="17" t="inlineStr">
        <is>
          <t>https://help.timeleft.com/hc/en-150/articles/28529250732444-What-is-Timeleft-and-How-Does-It-Work</t>
        </is>
      </c>
      <c r="G963" s="16" t="inlineStr">
        <is>
          <t>【モデル上なし】Timeleft 運営がイベントを自社開催し利用者は予約するだけ(ヘルプの仕組み説明)。</t>
        </is>
      </c>
    </row>
    <row r="964">
      <c r="A964" s="16" t="inlineStr">
        <is>
          <t>Timeleft</t>
        </is>
      </c>
      <c r="B964" s="16" t="inlineStr">
        <is>
          <t>OP11</t>
        </is>
      </c>
      <c r="C964" s="16" t="inlineStr">
        <is>
          <t>主催者ページ・グループページ</t>
        </is>
      </c>
      <c r="D964" s="13" t="inlineStr">
        <is>
          <t>❌</t>
        </is>
      </c>
      <c r="E964" s="16" t="inlineStr">
        <is>
          <t>公式</t>
        </is>
      </c>
      <c r="F964" s="17" t="inlineStr">
        <is>
          <t>https://help.timeleft.com/hc/en-150/articles/28529250732444-What-is-Timeleft-and-How-Does-It-Work</t>
        </is>
      </c>
      <c r="G964" s="16" t="inlineStr">
        <is>
          <t>【モデル上なし】Timeleft 運営がイベントを自社開催し利用者は予約するだけ(ヘルプの仕組み説明)。運営の都市ページ(DS07)のみ。</t>
        </is>
      </c>
    </row>
    <row r="965">
      <c r="A965" s="16" t="inlineStr">
        <is>
          <t>Timeleft</t>
        </is>
      </c>
      <c r="B965" s="16" t="inlineStr">
        <is>
          <t>OP12</t>
        </is>
      </c>
      <c r="C965" s="16" t="inlineStr">
        <is>
          <t>外部ツール連携・API</t>
        </is>
      </c>
      <c r="D965" s="13" t="inlineStr">
        <is>
          <t>❌</t>
        </is>
      </c>
      <c r="E965" s="16" t="inlineStr">
        <is>
          <t>公式</t>
        </is>
      </c>
      <c r="F965" s="17" t="inlineStr">
        <is>
          <t>https://help.timeleft.com/hc/en-150/articles/28529250732444-What-is-Timeleft-and-How-Does-It-Work</t>
        </is>
      </c>
      <c r="G965" s="16" t="inlineStr">
        <is>
          <t>【モデル上なし】Timeleft 運営がイベントを自社開催し利用者は予約するだけ(ヘルプの仕組み説明)。</t>
        </is>
      </c>
    </row>
    <row r="966">
      <c r="A966" s="16" t="inlineStr">
        <is>
          <t>Timeleft</t>
        </is>
      </c>
      <c r="B966" s="16" t="inlineStr">
        <is>
          <t>AC01</t>
        </is>
      </c>
      <c r="C966" s="16" t="inlineStr">
        <is>
          <t>無料イベントは無料</t>
        </is>
      </c>
      <c r="D966" s="13" t="inlineStr">
        <is>
          <t>❌</t>
        </is>
      </c>
      <c r="E966" s="16" t="inlineStr">
        <is>
          <t>公式</t>
        </is>
      </c>
      <c r="F966" s="17" t="inlineStr">
        <is>
          <t>https://help.timeleft.com/hc/en-150/articles/28529250732444-What-is-Timeleft-and-How-Does-It-Work</t>
        </is>
      </c>
      <c r="G966" s="16" t="inlineStr">
        <is>
          <t>【モデル上なし】Timeleft 運営がイベントを自社開催し利用者は予約するだけ(ヘルプの仕組み説明)。主催者手数料の概念がなく、収益は参加者のサブスク(MN01)。</t>
        </is>
      </c>
    </row>
    <row r="967">
      <c r="A967" s="16" t="inlineStr">
        <is>
          <t>Timeleft</t>
        </is>
      </c>
      <c r="B967" s="16" t="inlineStr">
        <is>
          <t>AC02</t>
        </is>
      </c>
      <c r="C967" s="16" t="inlineStr">
        <is>
          <t>手数料負担の選択</t>
        </is>
      </c>
      <c r="D967" s="13" t="inlineStr">
        <is>
          <t>❌</t>
        </is>
      </c>
      <c r="E967" s="16" t="inlineStr">
        <is>
          <t>公式</t>
        </is>
      </c>
      <c r="F967" s="17" t="inlineStr">
        <is>
          <t>https://help.timeleft.com/hc/en-150/articles/28529250732444-What-is-Timeleft-and-How-Does-It-Work</t>
        </is>
      </c>
      <c r="G967" s="16" t="inlineStr">
        <is>
          <t>【モデル上なし】Timeleft 運営がイベントを自社開催し利用者は予約するだけ(ヘルプの仕組み説明)。手数料の負担者選択はなし。予約手数料もなし(公式ブログ)。</t>
        </is>
      </c>
    </row>
    <row r="968">
      <c r="A968" s="16" t="inlineStr">
        <is>
          <t>Timeleft</t>
        </is>
      </c>
      <c r="B968" s="16" t="inlineStr">
        <is>
          <t>AC03</t>
        </is>
      </c>
      <c r="C968" s="16" t="inlineStr">
        <is>
          <t>参加者データの所有・出力</t>
        </is>
      </c>
      <c r="D968" s="13" t="inlineStr">
        <is>
          <t>❌</t>
        </is>
      </c>
      <c r="E968" s="16" t="inlineStr">
        <is>
          <t>公式</t>
        </is>
      </c>
      <c r="F968" s="17" t="inlineStr">
        <is>
          <t>https://help.timeleft.com/hc/en-150/articles/28529250732444-What-is-Timeleft-and-How-Does-It-Work</t>
        </is>
      </c>
      <c r="G968" s="16" t="inlineStr">
        <is>
          <t>【モデル上なし】Timeleft 運営がイベントを自社開催し利用者は予約するだけ(ヘルプの仕組み説明)。</t>
        </is>
      </c>
    </row>
    <row r="969">
      <c r="A969" s="16" t="inlineStr">
        <is>
          <t>Timeleft</t>
        </is>
      </c>
      <c r="B969" s="16" t="inlineStr">
        <is>
          <t>AC04</t>
        </is>
      </c>
      <c r="C969" s="16" t="inlineStr">
        <is>
          <t>他サービスからの移行</t>
        </is>
      </c>
      <c r="D969" s="13" t="inlineStr">
        <is>
          <t>❌</t>
        </is>
      </c>
      <c r="E969" s="16" t="inlineStr">
        <is>
          <t>公式</t>
        </is>
      </c>
      <c r="F969" s="17" t="inlineStr">
        <is>
          <t>https://help.timeleft.com/hc/en-150/articles/28529250732444-What-is-Timeleft-and-How-Does-It-Work</t>
        </is>
      </c>
      <c r="G969" s="16" t="inlineStr">
        <is>
          <t>【モデル上なし】Timeleft 運営がイベントを自社開催し利用者は予約するだけ(ヘルプの仕組み説明)。</t>
        </is>
      </c>
    </row>
    <row r="970">
      <c r="A970" s="16" t="inlineStr">
        <is>
          <t>Timeleft</t>
        </is>
      </c>
      <c r="B970" s="16" t="inlineStr">
        <is>
          <t>AC05</t>
        </is>
      </c>
      <c r="C970" s="16" t="inlineStr">
        <is>
          <t>主催者紹介・アンバサダー</t>
        </is>
      </c>
      <c r="D970" s="13" t="inlineStr">
        <is>
          <t>✅</t>
        </is>
      </c>
      <c r="E970" s="16" t="inlineStr">
        <is>
          <t>公式</t>
        </is>
      </c>
      <c r="F970" s="17" t="inlineStr">
        <is>
          <t>https://timeleft.com/affiliate/</t>
        </is>
      </c>
      <c r="G970" s="16" t="inlineStr">
        <is>
          <t>アンバサダー(アフィリエイト)制度: 紹介リンク経由の売上の50%、月次自動払い、承認制、成果ダッシュボード。参加者獲得用で主催者向けではない。グロース根拠あり(効いたチャネルとして日本語ページのアフィリエイトが挙がる。効果の定量は未確認)。</t>
        </is>
      </c>
    </row>
    <row r="971">
      <c r="A971" s="16" t="inlineStr">
        <is>
          <t>Timeleft</t>
        </is>
      </c>
      <c r="B971" s="16" t="inlineStr">
        <is>
          <t>AC06</t>
        </is>
      </c>
      <c r="C971" s="16" t="inlineStr">
        <is>
          <t>主催者向け教育・テンプレ</t>
        </is>
      </c>
      <c r="D971" s="13" t="inlineStr">
        <is>
          <t>❌</t>
        </is>
      </c>
      <c r="E971" s="16" t="inlineStr">
        <is>
          <t>公式</t>
        </is>
      </c>
      <c r="F971" s="17" t="inlineStr">
        <is>
          <t>https://help.timeleft.com/hc/en-150/articles/28529250732444-What-is-Timeleft-and-How-Does-It-Work</t>
        </is>
      </c>
      <c r="G971" s="16" t="inlineStr">
        <is>
          <t>【モデル上なし】Timeleft 運営がイベントを自社開催し利用者は予約するだけ(ヘルプの仕組み説明)。店舗向けは問い合わせフォームのみ(店舗向けガイドは確認できず)。</t>
        </is>
      </c>
    </row>
    <row r="972">
      <c r="A972" s="16" t="inlineStr">
        <is>
          <t>Timeleft</t>
        </is>
      </c>
      <c r="B972" s="16" t="inlineStr">
        <is>
          <t>AC07</t>
        </is>
      </c>
      <c r="C972" s="16" t="inlineStr">
        <is>
          <t>集客支援の商品</t>
        </is>
      </c>
      <c r="D972" s="13" t="inlineStr">
        <is>
          <t>△</t>
        </is>
      </c>
      <c r="E972" s="16" t="inlineStr">
        <is>
          <t>公式</t>
        </is>
      </c>
      <c r="F972" s="17" t="inlineStr">
        <is>
          <t>https://timeleft.com/brand-partnerships/</t>
        </is>
      </c>
      <c r="G972" s="16" t="inlineStr">
        <is>
          <t>ブランド向けスポンサー商品(イベントへの組込み、アプリ内プッシュ・メール・SNS露出、予算&lt;$25K〜$500K+)。主催者向けの集客商品ではない。</t>
        </is>
      </c>
    </row>
    <row r="973">
      <c r="A973" s="16" t="inlineStr">
        <is>
          <t>Timeleft</t>
        </is>
      </c>
      <c r="B973" s="16" t="inlineStr">
        <is>
          <t>AC08</t>
        </is>
      </c>
      <c r="C973" s="16" t="inlineStr">
        <is>
          <t>運営主催・公式イベント</t>
        </is>
      </c>
      <c r="D973" s="13" t="inlineStr">
        <is>
          <t>✅</t>
        </is>
      </c>
      <c r="E973" s="16" t="inlineStr">
        <is>
          <t>公式</t>
        </is>
      </c>
      <c r="F973" s="17" t="inlineStr">
        <is>
          <t>https://help.timeleft.com/hc/en-150/articles/28529250732444-What-is-Timeleft-and-How-Does-It-Work</t>
        </is>
      </c>
      <c r="G973" s="16" t="inlineStr">
        <is>
          <t>Timeleft が夕食・ドリンク・コーヒー・ラン・ウォーク・女性限定・LGBTQ+など全イベントを自社開催。</t>
        </is>
      </c>
    </row>
    <row r="974">
      <c r="A974" s="16" t="inlineStr">
        <is>
          <t>Timeleft</t>
        </is>
      </c>
      <c r="B974" s="16" t="inlineStr">
        <is>
          <t>CR01</t>
        </is>
      </c>
      <c r="C974" s="16" t="inlineStr">
        <is>
          <t>ダイジェスト・おすすめ通知</t>
        </is>
      </c>
      <c r="D974" s="13" t="inlineStr">
        <is>
          <t>△</t>
        </is>
      </c>
      <c r="E974" s="16" t="inlineStr">
        <is>
          <t>公式</t>
        </is>
      </c>
      <c r="F974" s="17" t="inlineStr">
        <is>
          <t>https://help.timeleft.com/hc/en-150/articles/28541783156380-How-Do-I-Manage-My-Notifications-and-Emails</t>
        </is>
      </c>
      <c r="G974" s="16" t="inlineStr">
        <is>
          <t>マーケティング・ニュースレターのメールとプッシュあり。おすすめ・新着ダイジェストの内容は確認できず。</t>
        </is>
      </c>
    </row>
    <row r="975">
      <c r="A975" s="16" t="inlineStr">
        <is>
          <t>Timeleft</t>
        </is>
      </c>
      <c r="B975" s="16" t="inlineStr">
        <is>
          <t>CR02</t>
        </is>
      </c>
      <c r="C975" s="16" t="inlineStr">
        <is>
          <t>自動メンバー化</t>
        </is>
      </c>
      <c r="D975" s="13" t="inlineStr">
        <is>
          <t>△</t>
        </is>
      </c>
      <c r="E975" s="16" t="inlineStr">
        <is>
          <t>公式</t>
        </is>
      </c>
      <c r="F975" s="17" t="inlineStr">
        <is>
          <t>https://help.timeleft.com/hc/en-150/articles/28540389917852-How-do-I-add-or-remove-a-connection</t>
        </is>
      </c>
      <c r="G975" s="16" t="inlineStr">
        <is>
          <t>同卓者は終了後に自動でConnectionになりチャット可。次回はRepeatで手動招待(自動で案内が届く仕組みは確認できず)。</t>
        </is>
      </c>
    </row>
    <row r="976">
      <c r="A976" s="16" t="inlineStr">
        <is>
          <t>Timeleft</t>
        </is>
      </c>
      <c r="B976" s="16" t="inlineStr">
        <is>
          <t>CR03</t>
        </is>
      </c>
      <c r="C976" s="16" t="inlineStr">
        <is>
          <t>前回参加者への優先案内</t>
        </is>
      </c>
      <c r="D976" s="13" t="inlineStr">
        <is>
          <t>△</t>
        </is>
      </c>
      <c r="E976" s="16" t="inlineStr">
        <is>
          <t>公式</t>
        </is>
      </c>
      <c r="F976" s="17" t="inlineStr">
        <is>
          <t>https://help.timeleft.com/hc/en-150/articles/27957183804828-How-Do-I-Invite-a-Guest</t>
        </is>
      </c>
      <c r="G976" s="16" t="inlineStr">
        <is>
          <t>Repeat(既存Connectionを次回イベントに招待)とワンタップ再予約(App Store)。過去参加者への先行案内ではない。</t>
        </is>
      </c>
    </row>
    <row r="977">
      <c r="A977" s="16" t="inlineStr">
        <is>
          <t>Timeleft</t>
        </is>
      </c>
      <c r="B977" s="16" t="inlineStr">
        <is>
          <t>CR04</t>
        </is>
      </c>
      <c r="C977" s="16" t="inlineStr">
        <is>
          <t>主催者CRM・購読者リスト</t>
        </is>
      </c>
      <c r="D977" s="13" t="inlineStr">
        <is>
          <t>❌</t>
        </is>
      </c>
      <c r="E977" s="16" t="inlineStr">
        <is>
          <t>公式</t>
        </is>
      </c>
      <c r="F977" s="17" t="inlineStr">
        <is>
          <t>https://help.timeleft.com/hc/en-150/articles/28529250732444-What-is-Timeleft-and-How-Does-It-Work</t>
        </is>
      </c>
      <c r="G977" s="16" t="inlineStr">
        <is>
          <t>【モデル上なし】Timeleft 運営がイベントを自社開催し利用者は予約するだけ(ヘルプの仕組み説明)。</t>
        </is>
      </c>
    </row>
    <row r="978">
      <c r="A978" s="16" t="inlineStr">
        <is>
          <t>Timeleft</t>
        </is>
      </c>
      <c r="B978" s="16" t="inlineStr">
        <is>
          <t>CR05</t>
        </is>
      </c>
      <c r="C978" s="16" t="inlineStr">
        <is>
          <t>参加履歴・バッジ・実績</t>
        </is>
      </c>
      <c r="D978" s="13" t="inlineStr">
        <is>
          <t>△</t>
        </is>
      </c>
      <c r="E978" s="16" t="inlineStr">
        <is>
          <t>公式</t>
        </is>
      </c>
      <c r="F978" s="17" t="inlineStr">
        <is>
          <t>https://help.timeleft.com/hc/en-150/articles/28540292815772-What-are-Post-Events-Connections-and-Impressions</t>
        </is>
      </c>
      <c r="G978" s="16" t="inlineStr">
        <is>
          <t>他者からのImpressions(印象の要約)あり。参加回数・バッジ・実績の表示は確認できず。</t>
        </is>
      </c>
    </row>
    <row r="979">
      <c r="A979" s="16" t="inlineStr">
        <is>
          <t>Timeleft</t>
        </is>
      </c>
      <c r="B979" s="16" t="inlineStr">
        <is>
          <t>CR06</t>
        </is>
      </c>
      <c r="C979" s="16" t="inlineStr">
        <is>
          <t>レビュー・評価</t>
        </is>
      </c>
      <c r="D979" s="13" t="inlineStr">
        <is>
          <t>✅</t>
        </is>
      </c>
      <c r="E979" s="16" t="inlineStr">
        <is>
          <t>公式</t>
        </is>
      </c>
      <c r="F979" s="17" t="inlineStr">
        <is>
          <t>https://timeleft.com/post/timeleft-algorithm-the-maestro-of-your-dinners/</t>
        </is>
      </c>
      <c r="G979" s="16" t="inlineStr">
        <is>
          <t>開催後に店と同卓者との相性を評価し、結果が次回マッチングに反映される。Impressions、店・イベントのフィードバックもある。</t>
        </is>
      </c>
    </row>
    <row r="980">
      <c r="A980" s="16" t="inlineStr">
        <is>
          <t>Timeleft</t>
        </is>
      </c>
      <c r="B980" s="16" t="inlineStr">
        <is>
          <t>CR07</t>
        </is>
      </c>
      <c r="C980" s="16" t="inlineStr">
        <is>
          <t>グループチャット・掲示板</t>
        </is>
      </c>
      <c r="D980" s="13" t="inlineStr">
        <is>
          <t>✅</t>
        </is>
      </c>
      <c r="E980" s="16" t="inlineStr">
        <is>
          <t>公式</t>
        </is>
      </c>
      <c r="F980" s="17" t="inlineStr">
        <is>
          <t>https://help.timeleft.com/hc/en-150/articles/29192588664860-How-Do-Group-Chats-Work</t>
        </is>
      </c>
      <c r="G980" s="16" t="inlineStr">
        <is>
          <t>卓のグループチャットが開始30分前に開設され開催後も継続、Connectionとの1対1チャット、リアクション・返信、AI/人によるモデレーション。アンケートによる卓編成: 約50問の性格テスト(既存ノート)で卓を組み、年齢差5〜7歳・性別・内向外向を混合、卓は4〜6人(通常6人)。グロース根拠あり(固定曜日・6人卓の型で拡大)。</t>
        </is>
      </c>
    </row>
    <row r="981">
      <c r="A981" s="16" t="inlineStr">
        <is>
          <t>Timeleft</t>
        </is>
      </c>
      <c r="B981" s="16" t="inlineStr">
        <is>
          <t>CR08</t>
        </is>
      </c>
      <c r="C981" s="16" t="inlineStr">
        <is>
          <t>年間まとめ・振り返り共有</t>
        </is>
      </c>
      <c r="D981" s="13" t="inlineStr">
        <is>
          <t>？</t>
        </is>
      </c>
      <c r="E981" s="16" t="inlineStr">
        <is>
          <t>なし</t>
        </is>
      </c>
      <c r="F981" s="16" t="inlineStr"/>
      <c r="G981" s="16" t="inlineStr">
        <is>
          <t>Wrapped型の年間振り返りは公式ページ・App Store説明・検索で確認できず。</t>
        </is>
      </c>
    </row>
    <row r="982">
      <c r="A982" s="16" t="inlineStr">
        <is>
          <t>Timeleft</t>
        </is>
      </c>
      <c r="B982" s="16" t="inlineStr">
        <is>
          <t>TS01</t>
        </is>
      </c>
      <c r="C982" s="16" t="inlineStr">
        <is>
          <t>本人確認・認証</t>
        </is>
      </c>
      <c r="D982" s="13" t="inlineStr">
        <is>
          <t>✅</t>
        </is>
      </c>
      <c r="E982" s="16" t="inlineStr">
        <is>
          <t>公式</t>
        </is>
      </c>
      <c r="F982" s="17" t="inlineStr">
        <is>
          <t>https://timeleft.com/blog/is-timeleft-safe/</t>
        </is>
      </c>
      <c r="G982" s="16" t="inlineStr">
        <is>
          <t>予約前に電話番号認証が必須(番号は他会員に非表示)、実名登録、必要時にID確認。ヘルプは参加前の本人確認を明記。18歳以上(UAEは21歳以上)。登録手順のヘルプには認証の記述がなく表現にばらつきあり。</t>
        </is>
      </c>
    </row>
    <row r="983">
      <c r="A983" s="16" t="inlineStr">
        <is>
          <t>Timeleft</t>
        </is>
      </c>
      <c r="B983" s="16" t="inlineStr">
        <is>
          <t>TS02</t>
        </is>
      </c>
      <c r="C983" s="16" t="inlineStr">
        <is>
          <t>主催者の審査・認定</t>
        </is>
      </c>
      <c r="D983" s="13" t="inlineStr">
        <is>
          <t>△</t>
        </is>
      </c>
      <c r="E983" s="16" t="inlineStr">
        <is>
          <t>公式</t>
        </is>
      </c>
      <c r="F983" s="17" t="inlineStr">
        <is>
          <t>https://help.timeleft.com/hc/en-150/articles/27963850159516-Partnering-with-Timeleft-Venues-and-Bars</t>
        </is>
      </c>
      <c r="G983" s="16" t="inlineStr">
        <is>
          <t>主催者は存在しないが、提携店は訪問・審査して採用(少人数対応・個別会計・品質を基準)。店の提案・避けたい店の連絡を受け付ける。</t>
        </is>
      </c>
    </row>
    <row r="984">
      <c r="A984" s="16" t="inlineStr">
        <is>
          <t>Timeleft</t>
        </is>
      </c>
      <c r="B984" s="16" t="inlineStr">
        <is>
          <t>TS03</t>
        </is>
      </c>
      <c r="C984" s="16" t="inlineStr">
        <is>
          <t>通報・ブロック・モデレーション</t>
        </is>
      </c>
      <c r="D984" s="13" t="inlineStr">
        <is>
          <t>✅</t>
        </is>
      </c>
      <c r="E984" s="16" t="inlineStr">
        <is>
          <t>公式</t>
        </is>
      </c>
      <c r="F984" s="17" t="inlineStr">
        <is>
          <t>https://help.timeleft.com/hc/en-150/articles/29193330963868-How-Are-Group-Chats-Moderated</t>
        </is>
      </c>
      <c r="G984" s="16" t="inlineStr">
        <is>
          <t>メッセージ長押しで通報(通報先は非通知・自動ブロック)、ブロック、チャットの自動フィルタ、Trust &amp; Safetyチーム審査、3段階の処分(教育的警告→正式警告→永久BAN)と異議申し立て。</t>
        </is>
      </c>
    </row>
    <row r="985">
      <c r="A985" s="16" t="inlineStr">
        <is>
          <t>Timeleft</t>
        </is>
      </c>
      <c r="B985" s="16" t="inlineStr">
        <is>
          <t>TS04</t>
        </is>
      </c>
      <c r="C985" s="16" t="inlineStr">
        <is>
          <t>ドタキャン対策</t>
        </is>
      </c>
      <c r="D985" s="13" t="inlineStr">
        <is>
          <t>△</t>
        </is>
      </c>
      <c r="E985" s="16" t="inlineStr">
        <is>
          <t>公式</t>
        </is>
      </c>
      <c r="F985" s="17" t="inlineStr">
        <is>
          <t>https://help.timeleft.com/hc/en-150/articles/25012703925148-What-Is-the-No-Show-Penalty-Fee</t>
        </is>
      </c>
      <c r="G985" s="16" t="inlineStr">
        <is>
          <t>無断欠席料=1か月サブスク料金の35%(米国を除く。予約前に警告が出た場合のみ)。同卓の2人以上が欠席を報告すると記録され、マッチング優先度に影響(検索要約)。キャンセル期限は48時間超で無料。繰り返しは停止の可能性(公式ブログ)。ヘルプ本文は403のため検索要約と公式ブログで確認。グロース根拠あり(欠席対策として既存ノートに記載)。</t>
        </is>
      </c>
    </row>
    <row r="986">
      <c r="A986" s="16" t="inlineStr">
        <is>
          <t>Timeleft</t>
        </is>
      </c>
      <c r="B986" s="16" t="inlineStr">
        <is>
          <t>TS05</t>
        </is>
      </c>
      <c r="C986" s="16" t="inlineStr">
        <is>
          <t>参加者情報の保護</t>
        </is>
      </c>
      <c r="D986" s="13" t="inlineStr">
        <is>
          <t>✅</t>
        </is>
      </c>
      <c r="E986" s="16" t="inlineStr">
        <is>
          <t>公式</t>
        </is>
      </c>
      <c r="F986" s="17" t="inlineStr">
        <is>
          <t>https://timeleft.com/safety-guidelines/</t>
        </is>
      </c>
      <c r="G986" s="16" t="inlineStr">
        <is>
          <t>氏名・写真・プロフィールは開催後まで非公開で1対1メッセージも不可、電話番号は他会員に非表示。共有は名前のみを推奨。</t>
        </is>
      </c>
    </row>
    <row r="987">
      <c r="A987" s="16" t="inlineStr">
        <is>
          <t>Timeleft</t>
        </is>
      </c>
      <c r="B987" s="16" t="inlineStr">
        <is>
          <t>TS06</t>
        </is>
      </c>
      <c r="C987" s="16" t="inlineStr">
        <is>
          <t>直接取引の抑止</t>
        </is>
      </c>
      <c r="D987" s="13" t="inlineStr">
        <is>
          <t>△</t>
        </is>
      </c>
      <c r="E987" s="16" t="inlineStr">
        <is>
          <t>公式</t>
        </is>
      </c>
      <c r="F987" s="17" t="inlineStr">
        <is>
          <t>https://timeleft.com/safety-guidelines/</t>
        </is>
      </c>
      <c r="G987" s="16" t="inlineStr">
        <is>
          <t>『公式チャネル以外で予約・支払いをしない』という利用者向け注意。他プラットフォームでの無断連絡はコミュニティ規約違反。主催者向けの外部誘導禁止規約は確認できず(主催者がいないため)。</t>
        </is>
      </c>
    </row>
    <row r="988">
      <c r="A988" s="16" t="inlineStr">
        <is>
          <t>Timeleft</t>
        </is>
      </c>
      <c r="B988" s="16" t="inlineStr">
        <is>
          <t>FD01</t>
        </is>
      </c>
      <c r="C988" s="16" t="inlineStr">
        <is>
          <t>メニューの事前注文・選択</t>
        </is>
      </c>
      <c r="D988" s="13" t="inlineStr">
        <is>
          <t>❌</t>
        </is>
      </c>
      <c r="E988" s="16" t="inlineStr">
        <is>
          <t>公式</t>
        </is>
      </c>
      <c r="F988" s="17" t="inlineStr">
        <is>
          <t>https://help.timeleft.com/hc/en-150/articles/28529250732444-What-is-Timeleft-and-How-Does-It-Work</t>
        </is>
      </c>
      <c r="G988" s="16" t="inlineStr">
        <is>
          <t>料理・飲み物の事前注文なし。サブスクは参加枠のみで、食事代は当日店で各自が支払う(ヘルプ・FAQ)。</t>
        </is>
      </c>
    </row>
    <row r="989">
      <c r="A989" s="16" t="inlineStr">
        <is>
          <t>Timeleft</t>
        </is>
      </c>
      <c r="B989" s="16" t="inlineStr">
        <is>
          <t>FD02</t>
        </is>
      </c>
      <c r="C989" s="16" t="inlineStr">
        <is>
          <t>アレルギー・食の好みの登録</t>
        </is>
      </c>
      <c r="D989" s="13" t="inlineStr">
        <is>
          <t>△</t>
        </is>
      </c>
      <c r="E989" s="16" t="inlineStr">
        <is>
          <t>公式</t>
        </is>
      </c>
      <c r="F989" s="17" t="inlineStr">
        <is>
          <t>https://help.timeleft.com/hc/en-150/articles/27959212422044-Dietary-Preferences-and-Food-Restrictions</t>
        </is>
      </c>
      <c r="G989" s="16" t="inlineStr">
        <is>
          <t>予約ごとに食の希望を選択(ベジタリアン・ヴィーガン・グルテンフリー・ハラール・コーシャの5種)。プロフィールには保存されない。アレルギー専用欄はなく、重度は会場情報の受領後に店へ直接連絡。店・同卓者への共有方法は未記載。</t>
        </is>
      </c>
    </row>
    <row r="990">
      <c r="A990" s="16" t="inlineStr">
        <is>
          <t>Timeleft</t>
        </is>
      </c>
      <c r="B990" s="16" t="inlineStr">
        <is>
          <t>FD03</t>
        </is>
      </c>
      <c r="C990" s="16" t="inlineStr">
        <is>
          <t>店舗向け管理画面</t>
        </is>
      </c>
      <c r="D990" s="13" t="inlineStr">
        <is>
          <t>？</t>
        </is>
      </c>
      <c r="E990" s="16" t="inlineStr">
        <is>
          <t>なし</t>
        </is>
      </c>
      <c r="F990" s="16" t="inlineStr"/>
      <c r="G990" s="16" t="inlineStr">
        <is>
          <t>店舗向け管理画面の記述なし(提携は問い合わせフォーム、苦情は担当者・フォーム: ヘルプ)。OpenTable経由で予約が入るとの店主証言(二次: Inquirer 2024)。</t>
        </is>
      </c>
    </row>
    <row r="991">
      <c r="A991" s="16" t="inlineStr">
        <is>
          <t>Timeleft</t>
        </is>
      </c>
      <c r="B991" s="16" t="inlineStr">
        <is>
          <t>FD04</t>
        </is>
      </c>
      <c r="C991" s="16" t="inlineStr">
        <is>
          <t>人数確定の店舗通知・集計</t>
        </is>
      </c>
      <c r="D991" s="13" t="inlineStr">
        <is>
          <t>△</t>
        </is>
      </c>
      <c r="E991" s="16" t="inlineStr">
        <is>
          <t>公式</t>
        </is>
      </c>
      <c r="F991" s="17" t="inlineStr">
        <is>
          <t>https://timeleft.com/</t>
        </is>
      </c>
      <c r="G991" s="16" t="inlineStr">
        <is>
          <t>運営が卓と店を確保する(FAQ:『店を予約する』)。店への人数通知・集計の仕組みは公式に確認できず。二次: 店主は Timeleft 側から OpenTable 経由で予約が入ると証言(Inquirer 2024)。</t>
        </is>
      </c>
    </row>
    <row r="992">
      <c r="A992" s="16" t="inlineStr">
        <is>
          <t>Timeleft</t>
        </is>
      </c>
      <c r="B992" s="16" t="inlineStr">
        <is>
          <t>FD05</t>
        </is>
      </c>
      <c r="C992" s="16" t="inlineStr">
        <is>
          <t>席の確保・貸切の連携</t>
        </is>
      </c>
      <c r="D992" s="13" t="inlineStr">
        <is>
          <t>✅</t>
        </is>
      </c>
      <c r="E992" s="16" t="inlineStr">
        <is>
          <t>公式</t>
        </is>
      </c>
      <c r="F992" s="17" t="inlineStr">
        <is>
          <t>https://timeleft.com/</t>
        </is>
      </c>
      <c r="G992" s="16" t="inlineStr">
        <is>
          <t>席のみ確保型。Timeleft が店・卓・時間を手配し、食事代は各自が店で支払う。店には対価を払わず毎週グループを送客(ヘルプ検索要約・既存ノート)。注文しない参加者が多いと店が提携終了を申し出る例あり(既存ノート)。少人数卓(4〜6人)。グロース根拠あり(卓確保型でARR €18M自己申告。都市あたり週50人以上の密度設計)。</t>
        </is>
      </c>
    </row>
    <row r="993">
      <c r="A993" s="16" t="inlineStr">
        <is>
          <t>Timeleft</t>
        </is>
      </c>
      <c r="B993" s="16" t="inlineStr">
        <is>
          <t>FD06</t>
        </is>
      </c>
      <c r="C993" s="16" t="inlineStr">
        <is>
          <t>コース・固定メニュー</t>
        </is>
      </c>
      <c r="D993" s="13" t="inlineStr">
        <is>
          <t>❌</t>
        </is>
      </c>
      <c r="E993" s="16" t="inlineStr">
        <is>
          <t>公式</t>
        </is>
      </c>
      <c r="F993" s="17" t="inlineStr">
        <is>
          <t>https://help.timeleft.com/hc/en-150/articles/28532932215964-How-Do-I-Book-an-Event</t>
        </is>
      </c>
      <c r="G993" s="16" t="inlineStr">
        <is>
          <t>コース・固定メニューの選択はなし。予約時に選べるのは予算帯などの条件のみで、料理は店で各自が注文。</t>
        </is>
      </c>
    </row>
    <row r="994">
      <c r="A994" s="16" t="inlineStr">
        <is>
          <t>Timeleft</t>
        </is>
      </c>
      <c r="B994" s="16" t="inlineStr">
        <is>
          <t>FD07</t>
        </is>
      </c>
      <c r="C994" s="16" t="inlineStr">
        <is>
          <t>割り勘・個別会計</t>
        </is>
      </c>
      <c r="D994" s="13" t="inlineStr">
        <is>
          <t>△</t>
        </is>
      </c>
      <c r="E994" s="16" t="inlineStr">
        <is>
          <t>公式</t>
        </is>
      </c>
      <c r="F994" s="17" t="inlineStr">
        <is>
          <t>https://help.timeleft.com/hc/en-150/articles/27959085490588-The-Venue-Wouldn-t-Split-the-Bill</t>
        </is>
      </c>
      <c r="G994" s="16" t="inlineStr">
        <is>
          <t>個別会計に対応できる店を選定(提携条件)。店ごとに方針が異なり不可の店もある。アプリ内の割り勘・精算機能はなく、現地で個別会計か参加者間で精算。</t>
        </is>
      </c>
    </row>
    <row r="995">
      <c r="A995" s="16" t="inlineStr">
        <is>
          <t>Timeleft</t>
        </is>
      </c>
      <c r="B995" s="16" t="inlineStr">
        <is>
          <t>FD08</t>
        </is>
      </c>
      <c r="C995" s="16" t="inlineStr">
        <is>
          <t>店探し・店選び支援</t>
        </is>
      </c>
      <c r="D995" s="13" t="inlineStr">
        <is>
          <t>△</t>
        </is>
      </c>
      <c r="E995" s="16" t="inlineStr">
        <is>
          <t>公式</t>
        </is>
      </c>
      <c r="F995" s="17" t="inlineStr">
        <is>
          <t>https://help.timeleft.com/hc/en-150/articles/27958879824796-Venue-Rotation-and-Suggestions</t>
        </is>
      </c>
      <c r="G995" s="16" t="inlineStr">
        <is>
          <t>店は運営が予算帯・エリア・食の希望で割り当て(3〜4週間は同じ店を割り当てない)。利用者は選べず、店の提案・避けたい店の連絡のみ可。幹事向けの比較機能はなし。</t>
        </is>
      </c>
    </row>
    <row r="996">
      <c r="A996" s="16" t="inlineStr">
        <is>
          <t>Timeleft</t>
        </is>
      </c>
      <c r="B996" s="16" t="inlineStr">
        <is>
          <t>FD09</t>
        </is>
      </c>
      <c r="C996" s="16" t="inlineStr">
        <is>
          <t>売り切れ・限定数の管理</t>
        </is>
      </c>
      <c r="D996" s="13" t="inlineStr">
        <is>
          <t>？</t>
        </is>
      </c>
      <c r="E996" s="16" t="inlineStr">
        <is>
          <t>なし</t>
        </is>
      </c>
      <c r="F996" s="16" t="inlineStr"/>
      <c r="G996" s="16" t="inlineStr">
        <is>
          <t>売り切れ・限定数の管理の記述なし(卓は4〜6人、予約は開催13時間前に締切)。</t>
        </is>
      </c>
    </row>
    <row r="997">
      <c r="A997" s="16" t="inlineStr">
        <is>
          <t>Timeleft</t>
        </is>
      </c>
      <c r="B997" s="16" t="inlineStr">
        <is>
          <t>FD10</t>
        </is>
      </c>
      <c r="C997" s="16" t="inlineStr">
        <is>
          <t>提供形態の選択</t>
        </is>
      </c>
      <c r="D997" s="13" t="inlineStr">
        <is>
          <t>❌</t>
        </is>
      </c>
      <c r="E997" s="16" t="inlineStr">
        <is>
          <t>公式</t>
        </is>
      </c>
      <c r="F997" s="17" t="inlineStr">
        <is>
          <t>https://help.timeleft.com/hc/en-150/articles/28532667896988-What-types-of-events-does-Timeleft-offer</t>
        </is>
      </c>
      <c r="G997" s="16" t="inlineStr">
        <is>
          <t>提供形態の選択なし。全て対面(店内の食事・ドリンク・コーヒー、ラン・ウォーク)。テイクアウト・デリバリーの記述なし。</t>
        </is>
      </c>
    </row>
    <row r="998">
      <c r="A998" s="16" t="inlineStr">
        <is>
          <t>Timeleft</t>
        </is>
      </c>
      <c r="B998" s="16" t="inlineStr">
        <is>
          <t>MN01</t>
        </is>
      </c>
      <c r="C998" s="16" t="inlineStr">
        <is>
          <t>手数料の明示</t>
        </is>
      </c>
      <c r="D998" s="13" t="inlineStr">
        <is>
          <t>✅</t>
        </is>
      </c>
      <c r="E998" s="16" t="inlineStr">
        <is>
          <t>公式</t>
        </is>
      </c>
      <c r="F998" s="17" t="inlineStr">
        <is>
          <t>https://timeleft.com/blog/how-much-does-a-supper-club-cost/</t>
        </is>
      </c>
      <c r="G998" s="16" t="inlineStr">
        <is>
          <t>料金を公開: 米国は月額$19.99(公式ブログ 2026-09)、予約手数料なし。App Storeの課金項目は$19.99/$46.99/$62.99(内訳は未記載。プランは1・3・6か月)。日本は金額が公式ページに出ずアプリ内表示のみ(二次: 参加者体験記事で1回¥1,890・月額¥2,290)。</t>
        </is>
      </c>
    </row>
    <row r="999">
      <c r="A999" s="16" t="inlineStr">
        <is>
          <t>Timeleft</t>
        </is>
      </c>
      <c r="B999" s="16" t="inlineStr">
        <is>
          <t>MN02</t>
        </is>
      </c>
      <c r="C999" s="16" t="inlineStr">
        <is>
          <t>主催者向け有料プラン</t>
        </is>
      </c>
      <c r="D999" s="13" t="inlineStr">
        <is>
          <t>❌</t>
        </is>
      </c>
      <c r="E999" s="16" t="inlineStr">
        <is>
          <t>公式</t>
        </is>
      </c>
      <c r="F999" s="17" t="inlineStr">
        <is>
          <t>https://help.timeleft.com/hc/en-150/articles/27963865308060-What-Subscription-Plans-Are-Available</t>
        </is>
      </c>
      <c r="G999" s="16" t="inlineStr">
        <is>
          <t>主催者向けプランはなし(定義上の機能はなし)。代わりに参加者向けサブスク(1・3・6か月)が主収益。食事・飲み物・会場費は別払い。</t>
        </is>
      </c>
    </row>
    <row r="1000">
      <c r="A1000" s="16" t="inlineStr">
        <is>
          <t>Timeleft</t>
        </is>
      </c>
      <c r="B1000" s="16" t="inlineStr">
        <is>
          <t>MN03</t>
        </is>
      </c>
      <c r="C1000" s="16" t="inlineStr">
        <is>
          <t>任意チップ・寄付</t>
        </is>
      </c>
      <c r="D1000" s="13" t="inlineStr">
        <is>
          <t>？</t>
        </is>
      </c>
      <c r="E1000" s="16" t="inlineStr">
        <is>
          <t>なし</t>
        </is>
      </c>
      <c r="F1000" s="16" t="inlineStr"/>
      <c r="G1000" s="16" t="inlineStr">
        <is>
          <t>任意のチップ・寄付の記述なし。</t>
        </is>
      </c>
    </row>
    <row r="1001">
      <c r="A1001" s="16" t="inlineStr">
        <is>
          <t>Timeleft</t>
        </is>
      </c>
      <c r="B1001" s="16" t="inlineStr">
        <is>
          <t>MN04</t>
        </is>
      </c>
      <c r="C1001" s="16" t="inlineStr">
        <is>
          <t>クーポン・割引コード</t>
        </is>
      </c>
      <c r="D1001" s="13" t="inlineStr">
        <is>
          <t>✅</t>
        </is>
      </c>
      <c r="E1001" s="16" t="inlineStr">
        <is>
          <t>公式</t>
        </is>
      </c>
      <c r="F1001" s="17" t="inlineStr">
        <is>
          <t>https://help.timeleft.com/hc/en-150/articles/28540951555612-My-Promo-Code-Isn-t-Working</t>
        </is>
      </c>
      <c r="G1001" s="16" t="inlineStr">
        <is>
          <t>プロモコード(サブスク購入・予約時のチェックアウト欄)。新規向け€5割引コードの案内あり(二次寄り: 2023年パリ記事、既存ノート)。</t>
        </is>
      </c>
    </row>
    <row r="1002">
      <c r="A1002" s="16" t="inlineStr">
        <is>
          <t>Timeleft</t>
        </is>
      </c>
      <c r="B1002" s="16" t="inlineStr">
        <is>
          <t>MN05</t>
        </is>
      </c>
      <c r="C1002" s="16" t="inlineStr">
        <is>
          <t>ポイント・会員特典</t>
        </is>
      </c>
      <c r="D1002" s="13" t="inlineStr">
        <is>
          <t>△</t>
        </is>
      </c>
      <c r="E1002" s="16" t="inlineStr">
        <is>
          <t>公式</t>
        </is>
      </c>
      <c r="F1002" s="17" t="inlineStr">
        <is>
          <t>https://help.timeleft.com/hc/en-150/articles/27963870649244-How-Do-I-Use-a-Credit</t>
        </is>
      </c>
      <c r="G1002" s="16" t="inlineStr">
        <is>
          <t>クレジット残高があり次回請求を自動で減額(取得条件は未記載)。キャンセル時の補償もプラン依存。ポイント・ロイヤルティ制度は確認できず。</t>
        </is>
      </c>
    </row>
    <row r="1003">
      <c r="A1003" s="16" t="inlineStr">
        <is>
          <t>Eatwith</t>
        </is>
      </c>
      <c r="B1003" s="16" t="inlineStr">
        <is>
          <t>DS01</t>
        </is>
      </c>
      <c r="C1003" s="16" t="inlineStr">
        <is>
          <t>キーワード・カテゴリ検索</t>
        </is>
      </c>
      <c r="D1003" s="13" t="inlineStr">
        <is>
          <t>✅</t>
        </is>
      </c>
      <c r="E1003" s="16" t="inlineStr">
        <is>
          <t>公式</t>
        </is>
      </c>
      <c r="F1003" s="17" t="inlineStr">
        <is>
          <t>https://intercom.help/eatwith/en/articles/432377-how-do-i-search-for-an-event</t>
        </is>
      </c>
      <c r="G1003" s="16" t="inlineStr">
        <is>
          <t>検索欄は都市・日付・人数・ホスト名/イベント名。体験の種類(料理教室・フードツアー・ディナー等)や料理でも絞り込み。</t>
        </is>
      </c>
    </row>
    <row r="1004">
      <c r="A1004" s="16" t="inlineStr">
        <is>
          <t>Eatwith</t>
        </is>
      </c>
      <c r="B1004" s="16" t="inlineStr">
        <is>
          <t>DS02</t>
        </is>
      </c>
      <c r="C1004" s="16" t="inlineStr">
        <is>
          <t>地域・地図検索</t>
        </is>
      </c>
      <c r="D1004" s="13" t="inlineStr">
        <is>
          <t>✅</t>
        </is>
      </c>
      <c r="E1004" s="16" t="inlineStr">
        <is>
          <t>公式</t>
        </is>
      </c>
      <c r="F1004" s="17" t="inlineStr">
        <is>
          <t>https://intercom.help/eatwith/en/articles/8279528-how-do-i-use-the-filters-and-the-map-to-find-an-experience</t>
        </is>
      </c>
      <c r="G1004" s="16" t="inlineStr">
        <is>
          <t>都市検索に加え、結果の右側に地図(ピン→プレビュー→詳細)。</t>
        </is>
      </c>
    </row>
    <row r="1005">
      <c r="A1005" s="16" t="inlineStr">
        <is>
          <t>Eatwith</t>
        </is>
      </c>
      <c r="B1005" s="16" t="inlineStr">
        <is>
          <t>DS03</t>
        </is>
      </c>
      <c r="C1005" s="16" t="inlineStr">
        <is>
          <t>日付・価格等の絞り込み</t>
        </is>
      </c>
      <c r="D1005" s="13" t="inlineStr">
        <is>
          <t>✅</t>
        </is>
      </c>
      <c r="E1005" s="16" t="inlineStr">
        <is>
          <t>公式</t>
        </is>
      </c>
      <c r="F1005" s="17" t="inlineStr">
        <is>
          <t>https://intercom.help/eatwith/en/articles/432377-how-do-i-search-for-an-event</t>
        </is>
      </c>
      <c r="G1005" s="16" t="inlineStr">
        <is>
          <t>フィルタ: 種類・価格帯・即時予約・ホスト言語・イベント種別・料理・特別食・設備。日付は検索欄で指定。</t>
        </is>
      </c>
    </row>
    <row r="1006">
      <c r="A1006" s="16" t="inlineStr">
        <is>
          <t>Eatwith</t>
        </is>
      </c>
      <c r="B1006" s="16" t="inlineStr">
        <is>
          <t>DS04</t>
        </is>
      </c>
      <c r="C1006" s="16" t="inlineStr">
        <is>
          <t>パーソナライズ推薦</t>
        </is>
      </c>
      <c r="D1006" s="13" t="inlineStr">
        <is>
          <t>？</t>
        </is>
      </c>
      <c r="E1006" s="16" t="inlineStr">
        <is>
          <t>なし</t>
        </is>
      </c>
      <c r="F1006" s="16" t="inlineStr"/>
      <c r="G1006" s="16" t="inlineStr">
        <is>
          <t>パーソナライズ推薦の記述なし。</t>
        </is>
      </c>
    </row>
    <row r="1007">
      <c r="A1007" s="16" t="inlineStr">
        <is>
          <t>Eatwith</t>
        </is>
      </c>
      <c r="B1007" s="16" t="inlineStr">
        <is>
          <t>DS05</t>
        </is>
      </c>
      <c r="C1007" s="16" t="inlineStr">
        <is>
          <t>フォロー</t>
        </is>
      </c>
      <c r="D1007" s="13" t="inlineStr">
        <is>
          <t>？</t>
        </is>
      </c>
      <c r="E1007" s="16" t="inlineStr">
        <is>
          <t>なし</t>
        </is>
      </c>
      <c r="F1007" s="16" t="inlineStr"/>
      <c r="G1007" s="16" t="inlineStr">
        <is>
          <t>ホストのフォロー機能は確認できず。</t>
        </is>
      </c>
    </row>
    <row r="1008">
      <c r="A1008" s="16" t="inlineStr">
        <is>
          <t>Eatwith</t>
        </is>
      </c>
      <c r="B1008" s="16" t="inlineStr">
        <is>
          <t>DS06</t>
        </is>
      </c>
      <c r="C1008" s="16" t="inlineStr">
        <is>
          <t>ブックマーク・ウィッシュリスト</t>
        </is>
      </c>
      <c r="D1008" s="13" t="inlineStr">
        <is>
          <t>✅</t>
        </is>
      </c>
      <c r="E1008" s="16" t="inlineStr">
        <is>
          <t>公式</t>
        </is>
      </c>
      <c r="F1008" s="17" t="inlineStr">
        <is>
          <t>https://intercom.help/eatwith/en/articles/1422053-how-do-i-add-an-experience-to-my-wishlist</t>
        </is>
      </c>
      <c r="G1008" s="16" t="inlineStr">
        <is>
          <t>ハートアイコンでウィッシュリストに保存。複数リスト作成可。</t>
        </is>
      </c>
    </row>
    <row r="1009">
      <c r="A1009" s="16" t="inlineStr">
        <is>
          <t>Eatwith</t>
        </is>
      </c>
      <c r="B1009" s="16" t="inlineStr">
        <is>
          <t>DS07</t>
        </is>
      </c>
      <c r="C1009" s="16" t="inlineStr">
        <is>
          <t>公開ディレクトリ・都市×カテゴリページ</t>
        </is>
      </c>
      <c r="D1009" s="13" t="inlineStr">
        <is>
          <t>✅</t>
        </is>
      </c>
      <c r="E1009" s="16" t="inlineStr">
        <is>
          <t>公式</t>
        </is>
      </c>
      <c r="F1009" s="17" t="inlineStr">
        <is>
          <t>https://www.eatwith.com/l/destinations/paris</t>
        </is>
      </c>
      <c r="G1009" s="16" t="inlineStr">
        <is>
          <t>都市別・カテゴリ別の公開ページがある(例: /l/destinations/paris、/paris/food-tours、/paris/gastronomic-dinners)。</t>
        </is>
      </c>
    </row>
    <row r="1010">
      <c r="A1010" s="16" t="inlineStr">
        <is>
          <t>Eatwith</t>
        </is>
      </c>
      <c r="B1010" s="16" t="inlineStr">
        <is>
          <t>DS08</t>
        </is>
      </c>
      <c r="C1010" s="16" t="inlineStr">
        <is>
          <t>キュレーション・特集</t>
        </is>
      </c>
      <c r="D1010" s="13" t="inlineStr">
        <is>
          <t>△</t>
        </is>
      </c>
      <c r="E1010" s="16" t="inlineStr">
        <is>
          <t>公式</t>
        </is>
      </c>
      <c r="F1010" s="17" t="inlineStr">
        <is>
          <t>https://intercom.help/eatwith/en/articles/3055059-who-can-get-a-star-chef-experience-badge</t>
        </is>
      </c>
      <c r="G1010" s="16" t="inlineStr">
        <is>
          <t>コミュニティマネージャーが基準(プロシェフ・レビュー20件以上で平均4.7・60日内に6日以上開催等)を満たす体験に Star Chef バッジを付与。都市ページにホスト紹介の枠あり。特集・ランキングの編集面は確認できず。</t>
        </is>
      </c>
    </row>
    <row r="1011">
      <c r="A1011" s="16" t="inlineStr">
        <is>
          <t>Eatwith</t>
        </is>
      </c>
      <c r="B1011" s="16" t="inlineStr">
        <is>
          <t>JN01</t>
        </is>
      </c>
      <c r="C1011" s="16" t="inlineStr">
        <is>
          <t>アカウント不要の申込</t>
        </is>
      </c>
      <c r="D1011" s="13" t="inlineStr">
        <is>
          <t>？</t>
        </is>
      </c>
      <c r="E1011" s="16" t="inlineStr">
        <is>
          <t>なし</t>
        </is>
      </c>
      <c r="F1011" s="16" t="inlineStr"/>
      <c r="G1011" s="16" t="inlineStr">
        <is>
          <t>予約手順の記述にアカウントの要否がなく不明(予約後は My Reservations でログインして確認)。</t>
        </is>
      </c>
    </row>
    <row r="1012">
      <c r="A1012" s="16" t="inlineStr">
        <is>
          <t>Eatwith</t>
        </is>
      </c>
      <c r="B1012" s="16" t="inlineStr">
        <is>
          <t>JN02</t>
        </is>
      </c>
      <c r="C1012" s="16" t="inlineStr">
        <is>
          <t>簡易ログイン</t>
        </is>
      </c>
      <c r="D1012" s="13" t="inlineStr">
        <is>
          <t>？</t>
        </is>
      </c>
      <c r="E1012" s="16" t="inlineStr">
        <is>
          <t>なし</t>
        </is>
      </c>
      <c r="F1012" s="16" t="inlineStr"/>
      <c r="G1012" s="16" t="inlineStr">
        <is>
          <t>ログイン手段(SNS・電話等)の記述なし。</t>
        </is>
      </c>
    </row>
    <row r="1013">
      <c r="A1013" s="16" t="inlineStr">
        <is>
          <t>Eatwith</t>
        </is>
      </c>
      <c r="B1013" s="16" t="inlineStr">
        <is>
          <t>JN03</t>
        </is>
      </c>
      <c r="C1013" s="16" t="inlineStr">
        <is>
          <t>承認制・参加申請</t>
        </is>
      </c>
      <c r="D1013" s="13" t="inlineStr">
        <is>
          <t>✅</t>
        </is>
      </c>
      <c r="E1013" s="16" t="inlineStr">
        <is>
          <t>公式</t>
        </is>
      </c>
      <c r="F1013" s="17" t="inlineStr">
        <is>
          <t>https://intercom.help/eatwith/en/articles/1930220-what-happens-once-i-ve-made-a-booking-request</t>
        </is>
      </c>
      <c r="G1013" s="16" t="inlineStr">
        <is>
          <t>リクエスト予約制(ホストが承認または辞退、保留は72時間で失効)。即時予約の体験は承認不要。</t>
        </is>
      </c>
    </row>
    <row r="1014">
      <c r="A1014" s="16" t="inlineStr">
        <is>
          <t>Eatwith</t>
        </is>
      </c>
      <c r="B1014" s="16" t="inlineStr">
        <is>
          <t>JN04</t>
        </is>
      </c>
      <c r="C1014" s="16" t="inlineStr">
        <is>
          <t>ウェイトリスト</t>
        </is>
      </c>
      <c r="D1014" s="13" t="inlineStr">
        <is>
          <t>？</t>
        </is>
      </c>
      <c r="E1014" s="16" t="inlineStr">
        <is>
          <t>なし</t>
        </is>
      </c>
      <c r="F1014" s="16" t="inlineStr"/>
      <c r="G1014" s="16" t="inlineStr">
        <is>
          <t>ウェイトリストの記述なし(満席時の挙動は未記載)。</t>
        </is>
      </c>
    </row>
    <row r="1015">
      <c r="A1015" s="16" t="inlineStr">
        <is>
          <t>Eatwith</t>
        </is>
      </c>
      <c r="B1015" s="16" t="inlineStr">
        <is>
          <t>JN05</t>
        </is>
      </c>
      <c r="C1015" s="16" t="inlineStr">
        <is>
          <t>定員・残席の表示</t>
        </is>
      </c>
      <c r="D1015" s="13" t="inlineStr">
        <is>
          <t>△</t>
        </is>
      </c>
      <c r="E1015" s="16" t="inlineStr">
        <is>
          <t>公式</t>
        </is>
      </c>
      <c r="F1015" s="17" t="inlineStr">
        <is>
          <t>https://intercom.help/eatwith/en/articles/434101-how-can-i-book-an-experience</t>
        </is>
      </c>
      <c r="G1015" s="16" t="inlineStr">
        <is>
          <t>予約ボックスに予約可能な日付と既存の参加者を表示。残席数の明示は確認できず。ホストが最小・最大人数を設定。</t>
        </is>
      </c>
    </row>
    <row r="1016">
      <c r="A1016" s="16" t="inlineStr">
        <is>
          <t>Eatwith</t>
        </is>
      </c>
      <c r="B1016" s="16" t="inlineStr">
        <is>
          <t>JN06</t>
        </is>
      </c>
      <c r="C1016" s="16" t="inlineStr">
        <is>
          <t>追加質問・同行者の入力</t>
        </is>
      </c>
      <c r="D1016" s="13" t="inlineStr">
        <is>
          <t>△</t>
        </is>
      </c>
      <c r="E1016" s="16" t="inlineStr">
        <is>
          <t>公式</t>
        </is>
      </c>
      <c r="F1016" s="17" t="inlineStr">
        <is>
          <t>https://intercom.help/eatwith/en/articles/434101-how-can-i-book-an-experience</t>
        </is>
      </c>
      <c r="G1016" s="16" t="inlineStr">
        <is>
          <t>予約時の入力は人数・日付・支払いのみ。食事制限などはホストへメッセージで伝える(予約時または予約後)。専用の入力欄は確認できず。</t>
        </is>
      </c>
    </row>
    <row r="1017">
      <c r="A1017" s="16" t="inlineStr">
        <is>
          <t>Eatwith</t>
        </is>
      </c>
      <c r="B1017" s="16" t="inlineStr">
        <is>
          <t>JN07</t>
        </is>
      </c>
      <c r="C1017" s="16" t="inlineStr">
        <is>
          <t>参加者のセルフキャンセル</t>
        </is>
      </c>
      <c r="D1017" s="13" t="inlineStr">
        <is>
          <t>✅</t>
        </is>
      </c>
      <c r="E1017" s="16" t="inlineStr">
        <is>
          <t>公式</t>
        </is>
      </c>
      <c r="F1017" s="17" t="inlineStr">
        <is>
          <t>https://intercom.help/eatwith/en/articles/986192-what-is-the-cancellation-policy</t>
        </is>
      </c>
      <c r="G1017" s="16" t="inlineStr">
        <is>
          <t>My Reservations からキャンセル。イベントごとの期限前は全額返金、期限後は返金なし(期限はチェックアウト画面に表示)。ホスト設定の既定は48時間前。</t>
        </is>
      </c>
    </row>
    <row r="1018">
      <c r="A1018" s="16" t="inlineStr">
        <is>
          <t>Eatwith</t>
        </is>
      </c>
      <c r="B1018" s="16" t="inlineStr">
        <is>
          <t>JN08</t>
        </is>
      </c>
      <c r="C1018" s="16" t="inlineStr">
        <is>
          <t>カレンダー追加</t>
        </is>
      </c>
      <c r="D1018" s="13" t="inlineStr">
        <is>
          <t>？</t>
        </is>
      </c>
      <c r="E1018" s="16" t="inlineStr">
        <is>
          <t>なし</t>
        </is>
      </c>
      <c r="F1018" s="16" t="inlineStr"/>
      <c r="G1018" s="16" t="inlineStr">
        <is>
          <t>カレンダー追加の記述なし。</t>
        </is>
      </c>
    </row>
    <row r="1019">
      <c r="A1019" s="16" t="inlineStr">
        <is>
          <t>Eatwith</t>
        </is>
      </c>
      <c r="B1019" s="16" t="inlineStr">
        <is>
          <t>JN09</t>
        </is>
      </c>
      <c r="C1019" s="16" t="inlineStr">
        <is>
          <t>開催前リマインド</t>
        </is>
      </c>
      <c r="D1019" s="13" t="inlineStr">
        <is>
          <t>？</t>
        </is>
      </c>
      <c r="E1019" s="16" t="inlineStr">
        <is>
          <t>なし</t>
        </is>
      </c>
      <c r="F1019" s="17" t="inlineStr">
        <is>
          <t>https://intercom.help/eatwith/en/articles/434146-when-will-i-receive-the-booking-details-and-exact-experience-location-information</t>
        </is>
      </c>
      <c r="G1019" s="16" t="inlineStr">
        <is>
          <t>予約確定メール(住所・ホストの連絡先)はあるが、開催前リマインドの記述は確認できず。</t>
        </is>
      </c>
    </row>
    <row r="1020">
      <c r="A1020" s="16" t="inlineStr">
        <is>
          <t>Eatwith</t>
        </is>
      </c>
      <c r="B1020" s="16" t="inlineStr">
        <is>
          <t>JN10</t>
        </is>
      </c>
      <c r="C1020" s="16" t="inlineStr">
        <is>
          <t>QRチケット・当日受付</t>
        </is>
      </c>
      <c r="D1020" s="13" t="inlineStr">
        <is>
          <t>？</t>
        </is>
      </c>
      <c r="E1020" s="16" t="inlineStr">
        <is>
          <t>なし</t>
        </is>
      </c>
      <c r="F1020" s="16" t="inlineStr"/>
      <c r="G1020" s="16" t="inlineStr">
        <is>
          <t>QRチケット・当日受付の記述なし(支払いはオンライン完結)。</t>
        </is>
      </c>
    </row>
    <row r="1021">
      <c r="A1021" s="16" t="inlineStr">
        <is>
          <t>Eatwith</t>
        </is>
      </c>
      <c r="B1021" s="16" t="inlineStr">
        <is>
          <t>JN11</t>
        </is>
      </c>
      <c r="C1021" s="16" t="inlineStr">
        <is>
          <t>参加者一覧の閲覧</t>
        </is>
      </c>
      <c r="D1021" s="13" t="inlineStr">
        <is>
          <t>△</t>
        </is>
      </c>
      <c r="E1021" s="16" t="inlineStr">
        <is>
          <t>公式</t>
        </is>
      </c>
      <c r="F1021" s="17" t="inlineStr">
        <is>
          <t>https://intercom.help/eatwith/en/articles/434101-how-can-i-book-an-experience</t>
        </is>
      </c>
      <c r="G1021" s="16" t="inlineStr">
        <is>
          <t>予約ボックスに既存の参加者が表示される(表示内容の詳細は未確認)。ホスト・ゲスト双方がプロフィールを持つ(guest trust 記事)。</t>
        </is>
      </c>
    </row>
    <row r="1022">
      <c r="A1022" s="16" t="inlineStr">
        <is>
          <t>Eatwith</t>
        </is>
      </c>
      <c r="B1022" s="16" t="inlineStr">
        <is>
          <t>JN12</t>
        </is>
      </c>
      <c r="C1022" s="16" t="inlineStr">
        <is>
          <t>イベント後の体験</t>
        </is>
      </c>
      <c r="D1022" s="13" t="inlineStr">
        <is>
          <t>✅</t>
        </is>
      </c>
      <c r="E1022" s="16" t="inlineStr">
        <is>
          <t>公式</t>
        </is>
      </c>
      <c r="F1022" s="17" t="inlineStr">
        <is>
          <t>https://intercom.help/eatwith/en/articles/434160-how-do-i-leave-a-review</t>
        </is>
      </c>
      <c r="G1022" s="16" t="inlineStr">
        <is>
          <t>開催後にレビュー依頼メール(星評価と文章)。ホストからゲストへのレビューもある。写真・アルバム機能は確認できず。</t>
        </is>
      </c>
    </row>
    <row r="1023">
      <c r="A1023" s="16" t="inlineStr">
        <is>
          <t>Eatwith</t>
        </is>
      </c>
      <c r="B1023" s="16" t="inlineStr">
        <is>
          <t>SH01</t>
        </is>
      </c>
      <c r="C1023" s="16" t="inlineStr">
        <is>
          <t>共有用URL・OGPカード</t>
        </is>
      </c>
      <c r="D1023" s="13" t="inlineStr">
        <is>
          <t>？</t>
        </is>
      </c>
      <c r="E1023" s="16" t="inlineStr">
        <is>
          <t>なし</t>
        </is>
      </c>
      <c r="F1023" s="16" t="inlineStr"/>
      <c r="G1023" s="16" t="inlineStr">
        <is>
          <t>共有URL・OGPの記述なし(ホストがInstagramプロフィールにリンクを貼る運用を案内)。</t>
        </is>
      </c>
    </row>
    <row r="1024">
      <c r="A1024" s="16" t="inlineStr">
        <is>
          <t>Eatwith</t>
        </is>
      </c>
      <c r="B1024" s="16" t="inlineStr">
        <is>
          <t>SH02</t>
        </is>
      </c>
      <c r="C1024" s="16" t="inlineStr">
        <is>
          <t>SNS・メッセージ共有ボタン</t>
        </is>
      </c>
      <c r="D1024" s="13" t="inlineStr">
        <is>
          <t>？</t>
        </is>
      </c>
      <c r="E1024" s="16" t="inlineStr">
        <is>
          <t>なし</t>
        </is>
      </c>
      <c r="F1024" s="16" t="inlineStr"/>
      <c r="G1024" s="16" t="inlineStr">
        <is>
          <t>共有ボタンの記述なし。</t>
        </is>
      </c>
    </row>
    <row r="1025">
      <c r="A1025" s="16" t="inlineStr">
        <is>
          <t>Eatwith</t>
        </is>
      </c>
      <c r="B1025" s="16" t="inlineStr">
        <is>
          <t>SH03</t>
        </is>
      </c>
      <c r="C1025" s="16" t="inlineStr">
        <is>
          <t>友人・同行者の招待導線</t>
        </is>
      </c>
      <c r="D1025" s="13" t="inlineStr">
        <is>
          <t>✅</t>
        </is>
      </c>
      <c r="E1025" s="16" t="inlineStr">
        <is>
          <t>公式</t>
        </is>
      </c>
      <c r="F1025" s="17" t="inlineStr">
        <is>
          <t>https://intercom.help/eatwith/en/articles/2206180-refer-a-friend-give-10-get-10</t>
        </is>
      </c>
      <c r="G1025" s="16" t="inlineStr">
        <is>
          <t>Refer a Friend: ログイン後に個人コードをメール・SNSで友人へ送る。友人は初回体験(€90超)が€10引き。</t>
        </is>
      </c>
    </row>
    <row r="1026">
      <c r="A1026" s="16" t="inlineStr">
        <is>
          <t>Eatwith</t>
        </is>
      </c>
      <c r="B1026" s="16" t="inlineStr">
        <is>
          <t>SH04</t>
        </is>
      </c>
      <c r="C1026" s="16" t="inlineStr">
        <is>
          <t>紹介リンク・紹介の可視化</t>
        </is>
      </c>
      <c r="D1026" s="13" t="inlineStr">
        <is>
          <t>✅</t>
        </is>
      </c>
      <c r="E1026" s="16" t="inlineStr">
        <is>
          <t>公式</t>
        </is>
      </c>
      <c r="F1026" s="17" t="inlineStr">
        <is>
          <t>https://intercom.help/eatwith/en/articles/2206180-refer-a-friend-give-10-get-10</t>
        </is>
      </c>
      <c r="G1026" s="16" t="inlineStr">
        <is>
          <t>個人の紹介コードで紹介を追跡し、紹介残高・クーポンを Refer a Friend 画面で確認できる。紹介者は友人の初回体験の後に€10(1クーポン上限€60、他割引と併用不可)。</t>
        </is>
      </c>
    </row>
    <row r="1027">
      <c r="A1027" s="16" t="inlineStr">
        <is>
          <t>Eatwith</t>
        </is>
      </c>
      <c r="B1027" s="16" t="inlineStr">
        <is>
          <t>SH05</t>
        </is>
      </c>
      <c r="C1027" s="16" t="inlineStr">
        <is>
          <t>連絡先・SNS連携で友人発見</t>
        </is>
      </c>
      <c r="D1027" s="13" t="inlineStr">
        <is>
          <t>？</t>
        </is>
      </c>
      <c r="E1027" s="16" t="inlineStr">
        <is>
          <t>なし</t>
        </is>
      </c>
      <c r="F1027" s="16" t="inlineStr"/>
      <c r="G1027" s="16" t="inlineStr">
        <is>
          <t>連絡先・SNS連携の記述なし。</t>
        </is>
      </c>
    </row>
    <row r="1028">
      <c r="A1028" s="16" t="inlineStr">
        <is>
          <t>Eatwith</t>
        </is>
      </c>
      <c r="B1028" s="16" t="inlineStr">
        <is>
          <t>SH06</t>
        </is>
      </c>
      <c r="C1028" s="16" t="inlineStr">
        <is>
          <t>社会的証明の表示</t>
        </is>
      </c>
      <c r="D1028" s="13" t="inlineStr">
        <is>
          <t>△</t>
        </is>
      </c>
      <c r="E1028" s="16" t="inlineStr">
        <is>
          <t>公式</t>
        </is>
      </c>
      <c r="F1028" s="17" t="inlineStr">
        <is>
          <t>https://www.eatwith.com/l/destinations/paris</t>
        </is>
      </c>
      <c r="G1028" s="16" t="inlineStr">
        <is>
          <t>都市ページにゲストレビューのカルーセル、予約ボックスに既存の参加者。星評価・日付は表示されない。</t>
        </is>
      </c>
    </row>
    <row r="1029">
      <c r="A1029" s="16" t="inlineStr">
        <is>
          <t>Eatwith</t>
        </is>
      </c>
      <c r="B1029" s="16" t="inlineStr">
        <is>
          <t>SH07</t>
        </is>
      </c>
      <c r="C1029" s="16" t="inlineStr">
        <is>
          <t>QR・短縮URL・チラシ生成</t>
        </is>
      </c>
      <c r="D1029" s="13" t="inlineStr">
        <is>
          <t>？</t>
        </is>
      </c>
      <c r="E1029" s="16" t="inlineStr">
        <is>
          <t>なし</t>
        </is>
      </c>
      <c r="F1029" s="17" t="inlineStr">
        <is>
          <t>https://intercom.help/eatwith/en/articles/3675985-marketing-toolkit-for-hosts</t>
        </is>
      </c>
      <c r="G1029" s="16" t="inlineStr">
        <is>
          <t>ホスト向けツールキットは QR・チラシ・共有素材に言及なし(ウィジェット・SNSリンクのみ)。</t>
        </is>
      </c>
    </row>
    <row r="1030">
      <c r="A1030" s="16" t="inlineStr">
        <is>
          <t>Eatwith</t>
        </is>
      </c>
      <c r="B1030" s="16" t="inlineStr">
        <is>
          <t>SH08</t>
        </is>
      </c>
      <c r="C1030" s="16" t="inlineStr">
        <is>
          <t>埋め込みウィジェット</t>
        </is>
      </c>
      <c r="D1030" s="13" t="inlineStr">
        <is>
          <t>✅</t>
        </is>
      </c>
      <c r="E1030" s="16" t="inlineStr">
        <is>
          <t>公式</t>
        </is>
      </c>
      <c r="F1030" s="17" t="inlineStr">
        <is>
          <t>https://intercom.help/eatwith/en/articles/3675985-marketing-toolkit-for-hosts</t>
        </is>
      </c>
      <c r="G1030" s="16" t="inlineStr">
        <is>
          <t>予約ウィジェットをホストのサイトに埋め込める(無料。公開中の体験を全部または一部表示、プライベートイベントの依頼フォームあり)。</t>
        </is>
      </c>
    </row>
    <row r="1031">
      <c r="A1031" s="16" t="inlineStr">
        <is>
          <t>Eatwith</t>
        </is>
      </c>
      <c r="B1031" s="16" t="inlineStr">
        <is>
          <t>OP01</t>
        </is>
      </c>
      <c r="C1031" s="16" t="inlineStr">
        <is>
          <t>簡単な作成</t>
        </is>
      </c>
      <c r="D1031" s="13" t="inlineStr">
        <is>
          <t>△</t>
        </is>
      </c>
      <c r="E1031" s="16" t="inlineStr">
        <is>
          <t>公式</t>
        </is>
      </c>
      <c r="F1031" s="17" t="inlineStr">
        <is>
          <t>https://intercom.help/eatwith/en/articles/1423009-how-do-i-create-a-new-experience</t>
        </is>
      </c>
      <c r="G1031" s="16" t="inlineStr">
        <is>
          <t>4ステップ(プロフィール→説明→写真10〜15枚→場所)で作成。提出後に運営の手動審査(最大14営業日)。短時間作成ではない。</t>
        </is>
      </c>
    </row>
    <row r="1032">
      <c r="A1032" s="16" t="inlineStr">
        <is>
          <t>Eatwith</t>
        </is>
      </c>
      <c r="B1032" s="16" t="inlineStr">
        <is>
          <t>OP02</t>
        </is>
      </c>
      <c r="C1032" s="16" t="inlineStr">
        <is>
          <t>コピー・繰り返し作成</t>
        </is>
      </c>
      <c r="D1032" s="13" t="inlineStr">
        <is>
          <t>△</t>
        </is>
      </c>
      <c r="E1032" s="16" t="inlineStr">
        <is>
          <t>公式</t>
        </is>
      </c>
      <c r="F1032" s="17" t="inlineStr">
        <is>
          <t>https://intercom.help/eatwith/en/articles/8032004-hosts-calendar-how-to-manage-your-availability</t>
        </is>
      </c>
      <c r="G1032" s="16" t="inlineStr">
        <is>
          <t>曜日ごとの既定の開催可能日を設定して定例化、期間指定で休みを設定。過去イベントの複製は確認できず。</t>
        </is>
      </c>
    </row>
    <row r="1033">
      <c r="A1033" s="16" t="inlineStr">
        <is>
          <t>Eatwith</t>
        </is>
      </c>
      <c r="B1033" s="16" t="inlineStr">
        <is>
          <t>OP03</t>
        </is>
      </c>
      <c r="C1033" s="16" t="inlineStr">
        <is>
          <t>下書き・限定公開</t>
        </is>
      </c>
      <c r="D1033" s="13" t="inlineStr">
        <is>
          <t>✅</t>
        </is>
      </c>
      <c r="E1033" s="16" t="inlineStr">
        <is>
          <t>公式</t>
        </is>
      </c>
      <c r="F1033" s="17" t="inlineStr">
        <is>
          <t>https://intercom.help/eatwith/en/articles/5662208-hosting-private-and-or-open-events-on-eatwith</t>
        </is>
      </c>
      <c r="G1033" s="16" t="inlineStr">
        <is>
          <t>プライベートイベント(非公開・共有リンクで案内)と公開イベント、非表示(Hidden)設定、体験の一時非公開、提出前の下書き。</t>
        </is>
      </c>
    </row>
    <row r="1034">
      <c r="A1034" s="16" t="inlineStr">
        <is>
          <t>Eatwith</t>
        </is>
      </c>
      <c r="B1034" s="16" t="inlineStr">
        <is>
          <t>OP04</t>
        </is>
      </c>
      <c r="C1034" s="16" t="inlineStr">
        <is>
          <t>AI作成支援</t>
        </is>
      </c>
      <c r="D1034" s="13" t="inlineStr">
        <is>
          <t>？</t>
        </is>
      </c>
      <c r="E1034" s="16" t="inlineStr">
        <is>
          <t>なし</t>
        </is>
      </c>
      <c r="F1034" s="16" t="inlineStr"/>
      <c r="G1034" s="16" t="inlineStr">
        <is>
          <t>AI作成支援の記述なし。</t>
        </is>
      </c>
    </row>
    <row r="1035">
      <c r="A1035" s="16" t="inlineStr">
        <is>
          <t>Eatwith</t>
        </is>
      </c>
      <c r="B1035" s="16" t="inlineStr">
        <is>
          <t>OP05</t>
        </is>
      </c>
      <c r="C1035" s="16" t="inlineStr">
        <is>
          <t>共同主催・運営メンバー権限</t>
        </is>
      </c>
      <c r="D1035" s="13" t="inlineStr">
        <is>
          <t>？</t>
        </is>
      </c>
      <c r="E1035" s="16" t="inlineStr">
        <is>
          <t>なし</t>
        </is>
      </c>
      <c r="F1035" s="16" t="inlineStr"/>
      <c r="G1035" s="16" t="inlineStr">
        <is>
          <t>共同主催・権限分けの記述なし。</t>
        </is>
      </c>
    </row>
    <row r="1036">
      <c r="A1036" s="16" t="inlineStr">
        <is>
          <t>Eatwith</t>
        </is>
      </c>
      <c r="B1036" s="16" t="inlineStr">
        <is>
          <t>OP06</t>
        </is>
      </c>
      <c r="C1036" s="16" t="inlineStr">
        <is>
          <t>参加者管理・名簿出力</t>
        </is>
      </c>
      <c r="D1036" s="13" t="inlineStr">
        <is>
          <t>△</t>
        </is>
      </c>
      <c r="E1036" s="16" t="inlineStr">
        <is>
          <t>公式</t>
        </is>
      </c>
      <c r="F1036" s="17" t="inlineStr">
        <is>
          <t>https://intercom.help/eatwith/en/articles/432225-where-can-i-find-the-contact-details-of-my-guests</t>
        </is>
      </c>
      <c r="G1036" s="16" t="inlineStr">
        <is>
          <t>予約確定後にインボックスとカレンダーでゲストの連絡先を確認。CSV等の名簿出力は確認できず。</t>
        </is>
      </c>
    </row>
    <row r="1037">
      <c r="A1037" s="16" t="inlineStr">
        <is>
          <t>Eatwith</t>
        </is>
      </c>
      <c r="B1037" s="16" t="inlineStr">
        <is>
          <t>OP07</t>
        </is>
      </c>
      <c r="C1037" s="16" t="inlineStr">
        <is>
          <t>一斉メッセージ</t>
        </is>
      </c>
      <c r="D1037" s="13" t="inlineStr">
        <is>
          <t>？</t>
        </is>
      </c>
      <c r="E1037" s="16" t="inlineStr">
        <is>
          <t>なし</t>
        </is>
      </c>
      <c r="F1037" s="17" t="inlineStr">
        <is>
          <t>https://intercom.help/eatwith/en/articles/432223-how-can-i-communicate-with-my-guests</t>
        </is>
      </c>
      <c r="G1037" s="16" t="inlineStr">
        <is>
          <t>インボックスでの1対1メッセージのみ記載。一斉送信の記述なし。</t>
        </is>
      </c>
    </row>
    <row r="1038">
      <c r="A1038" s="16" t="inlineStr">
        <is>
          <t>Eatwith</t>
        </is>
      </c>
      <c r="B1038" s="16" t="inlineStr">
        <is>
          <t>OP08</t>
        </is>
      </c>
      <c r="C1038" s="16" t="inlineStr">
        <is>
          <t>当日運営ツール</t>
        </is>
      </c>
      <c r="D1038" s="13" t="inlineStr">
        <is>
          <t>？</t>
        </is>
      </c>
      <c r="E1038" s="16" t="inlineStr">
        <is>
          <t>なし</t>
        </is>
      </c>
      <c r="F1038" s="16" t="inlineStr"/>
      <c r="G1038" s="16" t="inlineStr">
        <is>
          <t>当日受付ツールの記述なし。</t>
        </is>
      </c>
    </row>
    <row r="1039">
      <c r="A1039" s="16" t="inlineStr">
        <is>
          <t>Eatwith</t>
        </is>
      </c>
      <c r="B1039" s="16" t="inlineStr">
        <is>
          <t>OP09</t>
        </is>
      </c>
      <c r="C1039" s="16" t="inlineStr">
        <is>
          <t>売上・入金管理</t>
        </is>
      </c>
      <c r="D1039" s="13" t="inlineStr">
        <is>
          <t>✅</t>
        </is>
      </c>
      <c r="E1039" s="16" t="inlineStr">
        <is>
          <t>公式</t>
        </is>
      </c>
      <c r="F1039" s="17" t="inlineStr">
        <is>
          <t>https://intercom.help/eatwith/en/articles/432236-how-do-payments-work-for-hosts</t>
        </is>
      </c>
      <c r="G1039" s="16" t="inlineStr">
        <is>
          <t>支払い履歴の確認あり。イベント後2営業日にStripe経由で銀行へ振込(銀行により最大5営業日)。現金払いは禁止。</t>
        </is>
      </c>
    </row>
    <row r="1040">
      <c r="A1040" s="16" t="inlineStr">
        <is>
          <t>Eatwith</t>
        </is>
      </c>
      <c r="B1040" s="16" t="inlineStr">
        <is>
          <t>OP10</t>
        </is>
      </c>
      <c r="C1040" s="16" t="inlineStr">
        <is>
          <t>流入・申込の分析</t>
        </is>
      </c>
      <c r="D1040" s="13" t="inlineStr">
        <is>
          <t>？</t>
        </is>
      </c>
      <c r="E1040" s="16" t="inlineStr">
        <is>
          <t>なし</t>
        </is>
      </c>
      <c r="F1040" s="16" t="inlineStr"/>
      <c r="G1040" s="16" t="inlineStr">
        <is>
          <t>流入・申込の分析機能の記述なし。</t>
        </is>
      </c>
    </row>
    <row r="1041">
      <c r="A1041" s="16" t="inlineStr">
        <is>
          <t>Eatwith</t>
        </is>
      </c>
      <c r="B1041" s="16" t="inlineStr">
        <is>
          <t>OP11</t>
        </is>
      </c>
      <c r="C1041" s="16" t="inlineStr">
        <is>
          <t>主催者ページ・グループページ</t>
        </is>
      </c>
      <c r="D1041" s="13" t="inlineStr">
        <is>
          <t>✅</t>
        </is>
      </c>
      <c r="E1041" s="16" t="inlineStr">
        <is>
          <t>公式</t>
        </is>
      </c>
      <c r="F1041" s="17" t="inlineStr">
        <is>
          <t>https://intercom.help/eatwith/en/articles/3675985-marketing-toolkit-for-hosts</t>
        </is>
      </c>
      <c r="G1041" s="16" t="inlineStr">
        <is>
          <t>ホストのプロフィールページ(Eatwith profile)があり、ホスト自身のサイトからリンクして問い合わせへ誘導できる。</t>
        </is>
      </c>
    </row>
    <row r="1042">
      <c r="A1042" s="16" t="inlineStr">
        <is>
          <t>Eatwith</t>
        </is>
      </c>
      <c r="B1042" s="16" t="inlineStr">
        <is>
          <t>OP12</t>
        </is>
      </c>
      <c r="C1042" s="16" t="inlineStr">
        <is>
          <t>外部ツール連携・API</t>
        </is>
      </c>
      <c r="D1042" s="13" t="inlineStr">
        <is>
          <t>△</t>
        </is>
      </c>
      <c r="E1042" s="16" t="inlineStr">
        <is>
          <t>公式</t>
        </is>
      </c>
      <c r="F1042" s="17" t="inlineStr">
        <is>
          <t>https://intercom.help/eatwith/en/articles/3865728-does-eatwith-have-integrations-with-fareharbor-bokun-rezby-or-tock</t>
        </is>
      </c>
      <c r="G1042" s="16" t="inlineStr">
        <is>
          <t>FareHarbor・Bokun・Rezby・Tockとは非連携と明記(独自の予約・空き管理)。API記載なし。予約ウィジェットとパートナーサイトへの空き状況の自動同期はあり。グロース根拠あり(TripAdvisor等のパートナー掲載が成長経路として既存ノートに記載)。</t>
        </is>
      </c>
    </row>
    <row r="1043">
      <c r="A1043" s="16" t="inlineStr">
        <is>
          <t>Eatwith</t>
        </is>
      </c>
      <c r="B1043" s="16" t="inlineStr">
        <is>
          <t>AC01</t>
        </is>
      </c>
      <c r="C1043" s="16" t="inlineStr">
        <is>
          <t>無料イベントは無料</t>
        </is>
      </c>
      <c r="D1043" s="13" t="inlineStr">
        <is>
          <t>△</t>
        </is>
      </c>
      <c r="E1043" s="16" t="inlineStr">
        <is>
          <t>公式</t>
        </is>
      </c>
      <c r="F1043" s="17" t="inlineStr">
        <is>
          <t>https://intercom.help/eatwith/en/articles/432349-how-much-does-it-cost-to-host-with-eatwith</t>
        </is>
      </c>
      <c r="G1043" s="16" t="inlineStr">
        <is>
          <t>ホストの掲載・手数料は『Zero』(設定価格の100%を受け取る)。無料イベントを前提とした記述はなし。</t>
        </is>
      </c>
    </row>
    <row r="1044">
      <c r="A1044" s="16" t="inlineStr">
        <is>
          <t>Eatwith</t>
        </is>
      </c>
      <c r="B1044" s="16" t="inlineStr">
        <is>
          <t>AC02</t>
        </is>
      </c>
      <c r="C1044" s="16" t="inlineStr">
        <is>
          <t>手数料負担の選択</t>
        </is>
      </c>
      <c r="D1044" s="13" t="inlineStr">
        <is>
          <t>❌</t>
        </is>
      </c>
      <c r="E1044" s="16" t="inlineStr">
        <is>
          <t>公式</t>
        </is>
      </c>
      <c r="F1044" s="17" t="inlineStr">
        <is>
          <t>https://intercom.help/eatwith/en/articles/4118435-pricing-your-experiences</t>
        </is>
      </c>
      <c r="G1044" s="16" t="inlineStr">
        <is>
          <t>ゲストが30%を上乗せして支払う方式に固定(ホスト負担を選ぶ記述なし)。例: 設定$20→ゲスト$26。パートナーサイト掲載時の料率は記事内で記述が混在(要確認)。</t>
        </is>
      </c>
    </row>
    <row r="1045">
      <c r="A1045" s="16" t="inlineStr">
        <is>
          <t>Eatwith</t>
        </is>
      </c>
      <c r="B1045" s="16" t="inlineStr">
        <is>
          <t>AC03</t>
        </is>
      </c>
      <c r="C1045" s="16" t="inlineStr">
        <is>
          <t>参加者データの所有・出力</t>
        </is>
      </c>
      <c r="D1045" s="13" t="inlineStr">
        <is>
          <t>△</t>
        </is>
      </c>
      <c r="E1045" s="16" t="inlineStr">
        <is>
          <t>公式</t>
        </is>
      </c>
      <c r="F1045" s="17" t="inlineStr">
        <is>
          <t>https://intercom.help/eatwith/en/articles/432225-where-can-i-find-the-contact-details-of-my-guests</t>
        </is>
      </c>
      <c r="G1045" s="16" t="inlineStr">
        <is>
          <t>予約確定後にゲストの連絡先を見られるが、エクスポート・外部利用の可否は記述なし。確定前の連絡先共有は禁止。</t>
        </is>
      </c>
    </row>
    <row r="1046">
      <c r="A1046" s="16" t="inlineStr">
        <is>
          <t>Eatwith</t>
        </is>
      </c>
      <c r="B1046" s="16" t="inlineStr">
        <is>
          <t>AC04</t>
        </is>
      </c>
      <c r="C1046" s="16" t="inlineStr">
        <is>
          <t>他サービスからの移行</t>
        </is>
      </c>
      <c r="D1046" s="13" t="inlineStr">
        <is>
          <t>？</t>
        </is>
      </c>
      <c r="E1046" s="16" t="inlineStr">
        <is>
          <t>なし</t>
        </is>
      </c>
      <c r="F1046" s="16" t="inlineStr"/>
      <c r="G1046" s="16" t="inlineStr">
        <is>
          <t>他サービスからの移行機能・支援は確認できず。</t>
        </is>
      </c>
    </row>
    <row r="1047">
      <c r="A1047" s="16" t="inlineStr">
        <is>
          <t>Eatwith</t>
        </is>
      </c>
      <c r="B1047" s="16" t="inlineStr">
        <is>
          <t>AC05</t>
        </is>
      </c>
      <c r="C1047" s="16" t="inlineStr">
        <is>
          <t>主催者紹介・アンバサダー</t>
        </is>
      </c>
      <c r="D1047" s="13" t="inlineStr">
        <is>
          <t>△</t>
        </is>
      </c>
      <c r="E1047" s="16" t="inlineStr">
        <is>
          <t>二次</t>
        </is>
      </c>
      <c r="F1047" s="17" t="inlineStr">
        <is>
          <t>https://travelpayouts.com/blog/eatwith-affiliate-program/</t>
        </is>
      </c>
      <c r="G1047" s="16" t="inlineStr">
        <is>
          <t>二次: Travelpayouts経由のアフィリエイト(成果報酬6%、事前承認、2021年更新)。公式ではゲスト向け紹介(€10/€10)のみ確認(SH04)。主催者の紹介報酬は確認できず。グロース根拠あり(既存ノート: アフィリエイト6〜10%[要約])。</t>
        </is>
      </c>
    </row>
    <row r="1048">
      <c r="A1048" s="16" t="inlineStr">
        <is>
          <t>Eatwith</t>
        </is>
      </c>
      <c r="B1048" s="16" t="inlineStr">
        <is>
          <t>AC06</t>
        </is>
      </c>
      <c r="C1048" s="16" t="inlineStr">
        <is>
          <t>主催者向け教育・テンプレ</t>
        </is>
      </c>
      <c r="D1048" s="13" t="inlineStr">
        <is>
          <t>✅</t>
        </is>
      </c>
      <c r="E1048" s="16" t="inlineStr">
        <is>
          <t>公式</t>
        </is>
      </c>
      <c r="F1048" s="17" t="inlineStr">
        <is>
          <t>https://intercom.help/eatwith/en/collections/128277-eatwith-hosts</t>
        </is>
      </c>
      <c r="G1048" s="16" t="inlineStr">
        <is>
          <t>Host Toolkit(タイトル・説明・写真・メニュー・価格の書き方、ホストの進め方)、デモイベントの勧め、マーケティングツールキット、キャンセルポリシー設定の解説。</t>
        </is>
      </c>
    </row>
    <row r="1049">
      <c r="A1049" s="16" t="inlineStr">
        <is>
          <t>Eatwith</t>
        </is>
      </c>
      <c r="B1049" s="16" t="inlineStr">
        <is>
          <t>AC07</t>
        </is>
      </c>
      <c r="C1049" s="16" t="inlineStr">
        <is>
          <t>集客支援の商品</t>
        </is>
      </c>
      <c r="D1049" s="13" t="inlineStr">
        <is>
          <t>△</t>
        </is>
      </c>
      <c r="E1049" s="16" t="inlineStr">
        <is>
          <t>公式</t>
        </is>
      </c>
      <c r="F1049" s="17" t="inlineStr">
        <is>
          <t>https://intercom.help/eatwith/en/articles/432210-how-can-i-promote-my-event</t>
        </is>
      </c>
      <c r="G1049" s="16" t="inlineStr">
        <is>
          <t>運営がニュースレター・広告・ツアー会社との提携で露出を支援(月4回超の開催と良質な写真のホストを後押し)。ホストが購入する商品ではない。ホテル向け割引コードの依頼は可。</t>
        </is>
      </c>
    </row>
    <row r="1050">
      <c r="A1050" s="16" t="inlineStr">
        <is>
          <t>Eatwith</t>
        </is>
      </c>
      <c r="B1050" s="16" t="inlineStr">
        <is>
          <t>AC08</t>
        </is>
      </c>
      <c r="C1050" s="16" t="inlineStr">
        <is>
          <t>運営主催・公式イベント</t>
        </is>
      </c>
      <c r="D1050" s="13" t="inlineStr">
        <is>
          <t>？</t>
        </is>
      </c>
      <c r="E1050" s="16" t="inlineStr">
        <is>
          <t>なし</t>
        </is>
      </c>
      <c r="F1050" s="16" t="inlineStr"/>
      <c r="G1050" s="16" t="inlineStr">
        <is>
          <t>運営主催イベントの記述なし。EF・ACIS等のパートナー団体の予約を扱う記事はある。</t>
        </is>
      </c>
    </row>
    <row r="1051">
      <c r="A1051" s="16" t="inlineStr">
        <is>
          <t>Eatwith</t>
        </is>
      </c>
      <c r="B1051" s="16" t="inlineStr">
        <is>
          <t>CR01</t>
        </is>
      </c>
      <c r="C1051" s="16" t="inlineStr">
        <is>
          <t>ダイジェスト・おすすめ通知</t>
        </is>
      </c>
      <c r="D1051" s="13" t="inlineStr">
        <is>
          <t>？</t>
        </is>
      </c>
      <c r="E1051" s="16" t="inlineStr">
        <is>
          <t>なし</t>
        </is>
      </c>
      <c r="F1051" s="16" t="inlineStr"/>
      <c r="G1051" s="16" t="inlineStr">
        <is>
          <t>ダイジェスト・おすすめ通知の記述なし。</t>
        </is>
      </c>
    </row>
    <row r="1052">
      <c r="A1052" s="16" t="inlineStr">
        <is>
          <t>Eatwith</t>
        </is>
      </c>
      <c r="B1052" s="16" t="inlineStr">
        <is>
          <t>CR02</t>
        </is>
      </c>
      <c r="C1052" s="16" t="inlineStr">
        <is>
          <t>自動メンバー化</t>
        </is>
      </c>
      <c r="D1052" s="13" t="inlineStr">
        <is>
          <t>？</t>
        </is>
      </c>
      <c r="E1052" s="16" t="inlineStr">
        <is>
          <t>なし</t>
        </is>
      </c>
      <c r="F1052" s="16" t="inlineStr"/>
      <c r="G1052" s="16" t="inlineStr">
        <is>
          <t>自動メンバー化の記述なし。</t>
        </is>
      </c>
    </row>
    <row r="1053">
      <c r="A1053" s="16" t="inlineStr">
        <is>
          <t>Eatwith</t>
        </is>
      </c>
      <c r="B1053" s="16" t="inlineStr">
        <is>
          <t>CR03</t>
        </is>
      </c>
      <c r="C1053" s="16" t="inlineStr">
        <is>
          <t>前回参加者への優先案内</t>
        </is>
      </c>
      <c r="D1053" s="13" t="inlineStr">
        <is>
          <t>？</t>
        </is>
      </c>
      <c r="E1053" s="16" t="inlineStr">
        <is>
          <t>なし</t>
        </is>
      </c>
      <c r="F1053" s="16" t="inlineStr"/>
      <c r="G1053" s="16" t="inlineStr">
        <is>
          <t>前回参加者への優先案内の記述なし。</t>
        </is>
      </c>
    </row>
    <row r="1054">
      <c r="A1054" s="16" t="inlineStr">
        <is>
          <t>Eatwith</t>
        </is>
      </c>
      <c r="B1054" s="16" t="inlineStr">
        <is>
          <t>CR04</t>
        </is>
      </c>
      <c r="C1054" s="16" t="inlineStr">
        <is>
          <t>主催者CRM・購読者リスト</t>
        </is>
      </c>
      <c r="D1054" s="13" t="inlineStr">
        <is>
          <t>？</t>
        </is>
      </c>
      <c r="E1054" s="16" t="inlineStr">
        <is>
          <t>なし</t>
        </is>
      </c>
      <c r="F1054" s="16" t="inlineStr"/>
      <c r="G1054" s="16" t="inlineStr">
        <is>
          <t>主催者CRM・購読者リストの記述なし。</t>
        </is>
      </c>
    </row>
    <row r="1055">
      <c r="A1055" s="16" t="inlineStr">
        <is>
          <t>Eatwith</t>
        </is>
      </c>
      <c r="B1055" s="16" t="inlineStr">
        <is>
          <t>CR05</t>
        </is>
      </c>
      <c r="C1055" s="16" t="inlineStr">
        <is>
          <t>参加履歴・バッジ・実績</t>
        </is>
      </c>
      <c r="D1055" s="13" t="inlineStr">
        <is>
          <t>△</t>
        </is>
      </c>
      <c r="E1055" s="16" t="inlineStr">
        <is>
          <t>公式</t>
        </is>
      </c>
      <c r="F1055" s="17" t="inlineStr">
        <is>
          <t>https://intercom.help/eatwith/en/articles/3055059-who-can-get-a-star-chef-experience-badge</t>
        </is>
      </c>
      <c r="G1055" s="16" t="inlineStr">
        <is>
          <t>ホスト向けのStar Chefバッジとレビュー数。ゲスト側の参加履歴・バッジは確認できず。</t>
        </is>
      </c>
    </row>
    <row r="1056">
      <c r="A1056" s="16" t="inlineStr">
        <is>
          <t>Eatwith</t>
        </is>
      </c>
      <c r="B1056" s="16" t="inlineStr">
        <is>
          <t>CR06</t>
        </is>
      </c>
      <c r="C1056" s="16" t="inlineStr">
        <is>
          <t>レビュー・評価</t>
        </is>
      </c>
      <c r="D1056" s="13" t="inlineStr">
        <is>
          <t>✅</t>
        </is>
      </c>
      <c r="E1056" s="16" t="inlineStr">
        <is>
          <t>公式</t>
        </is>
      </c>
      <c r="F1056" s="17" t="inlineStr">
        <is>
          <t>https://intercom.help/eatwith/en/articles/1497789-write-reviews-for-your-guests</t>
        </is>
      </c>
      <c r="G1056" s="16" t="inlineStr">
        <is>
          <t>ゲストがホストを星評価と文章で評価、ホストもゲストをレビュー(公開)。</t>
        </is>
      </c>
    </row>
    <row r="1057">
      <c r="A1057" s="16" t="inlineStr">
        <is>
          <t>Eatwith</t>
        </is>
      </c>
      <c r="B1057" s="16" t="inlineStr">
        <is>
          <t>CR07</t>
        </is>
      </c>
      <c r="C1057" s="16" t="inlineStr">
        <is>
          <t>グループチャット・掲示板</t>
        </is>
      </c>
      <c r="D1057" s="13" t="inlineStr">
        <is>
          <t>✅</t>
        </is>
      </c>
      <c r="E1057" s="16" t="inlineStr">
        <is>
          <t>公式</t>
        </is>
      </c>
      <c r="F1057" s="17" t="inlineStr">
        <is>
          <t>https://intercom.help/eatwith/en/articles/432223-how-can-i-communicate-with-my-guests</t>
        </is>
      </c>
      <c r="G1057" s="16" t="inlineStr">
        <is>
          <t>インボックスでホストとゲストが1対1でメッセージ(メール通知付き)。確定前は連絡先の共有禁止で、やり取りはサイト内に限る。グループチャットは確認できず。</t>
        </is>
      </c>
    </row>
    <row r="1058">
      <c r="A1058" s="16" t="inlineStr">
        <is>
          <t>Eatwith</t>
        </is>
      </c>
      <c r="B1058" s="16" t="inlineStr">
        <is>
          <t>CR08</t>
        </is>
      </c>
      <c r="C1058" s="16" t="inlineStr">
        <is>
          <t>年間まとめ・振り返り共有</t>
        </is>
      </c>
      <c r="D1058" s="13" t="inlineStr">
        <is>
          <t>？</t>
        </is>
      </c>
      <c r="E1058" s="16" t="inlineStr">
        <is>
          <t>なし</t>
        </is>
      </c>
      <c r="F1058" s="16" t="inlineStr"/>
      <c r="G1058" s="16" t="inlineStr">
        <is>
          <t>年間振り返りの記述なし。</t>
        </is>
      </c>
    </row>
    <row r="1059">
      <c r="A1059" s="16" t="inlineStr">
        <is>
          <t>Eatwith</t>
        </is>
      </c>
      <c r="B1059" s="16" t="inlineStr">
        <is>
          <t>TS01</t>
        </is>
      </c>
      <c r="C1059" s="16" t="inlineStr">
        <is>
          <t>本人確認・認証</t>
        </is>
      </c>
      <c r="D1059" s="13" t="inlineStr">
        <is>
          <t>✅</t>
        </is>
      </c>
      <c r="E1059" s="16" t="inlineStr">
        <is>
          <t>公式</t>
        </is>
      </c>
      <c r="F1059" s="17" t="inlineStr">
        <is>
          <t>https://intercom.help/eatwith/en/articles/432234-how-do-i-know-if-a-guest-can-be-trusted</t>
        </is>
      </c>
      <c r="G1059" s="16" t="inlineStr">
        <is>
          <t>ホストもゲストも本人確認が必須(確認方法の記述はなし)。ホストは運営の審査も受ける。</t>
        </is>
      </c>
    </row>
    <row r="1060">
      <c r="A1060" s="16" t="inlineStr">
        <is>
          <t>Eatwith</t>
        </is>
      </c>
      <c r="B1060" s="16" t="inlineStr">
        <is>
          <t>TS02</t>
        </is>
      </c>
      <c r="C1060" s="16" t="inlineStr">
        <is>
          <t>主催者の審査・認定</t>
        </is>
      </c>
      <c r="D1060" s="13" t="inlineStr">
        <is>
          <t>✅</t>
        </is>
      </c>
      <c r="E1060" s="16" t="inlineStr">
        <is>
          <t>公式</t>
        </is>
      </c>
      <c r="F1060" s="17" t="inlineStr">
        <is>
          <t>https://intercom.help/eatwith/en/articles/2680329-how-do-i-become-an-eatwith-host</t>
        </is>
      </c>
      <c r="G1060" s="16" t="inlineStr">
        <is>
          <t>コミュニティチームがホストを審査(最大14営業日)、デモイベントの推奨、Star Chefバッジ、衛生・食品安全の要件ページ。</t>
        </is>
      </c>
    </row>
    <row r="1061">
      <c r="A1061" s="16" t="inlineStr">
        <is>
          <t>Eatwith</t>
        </is>
      </c>
      <c r="B1061" s="16" t="inlineStr">
        <is>
          <t>TS03</t>
        </is>
      </c>
      <c r="C1061" s="16" t="inlineStr">
        <is>
          <t>通報・ブロック・モデレーション</t>
        </is>
      </c>
      <c r="D1061" s="13" t="inlineStr">
        <is>
          <t>△</t>
        </is>
      </c>
      <c r="E1061" s="16" t="inlineStr">
        <is>
          <t>公式</t>
        </is>
      </c>
      <c r="F1061" s="17" t="inlineStr">
        <is>
          <t>https://intercom.help/eatwith/en/articles/432235-what-happens-if-i-have-a-bad-experience-with-a-guest</t>
        </is>
      </c>
      <c r="G1061" s="16" t="inlineStr">
        <is>
          <t>問題はコミュニティチーム/サポートへメールで連絡(ホストに『対立を避けて』と案内)。ホスト側の問題は調査・返金・再発防止を保証(trust 記事)。ゲスト・ホストとも€3,000,000の保証(保険)の対象(開催中の事故・食品安全等)。アプリ内の通報・ブロック機能は確認できず。</t>
        </is>
      </c>
    </row>
    <row r="1062">
      <c r="A1062" s="16" t="inlineStr">
        <is>
          <t>Eatwith</t>
        </is>
      </c>
      <c r="B1062" s="16" t="inlineStr">
        <is>
          <t>TS04</t>
        </is>
      </c>
      <c r="C1062" s="16" t="inlineStr">
        <is>
          <t>ドタキャン対策</t>
        </is>
      </c>
      <c r="D1062" s="13" t="inlineStr">
        <is>
          <t>✅</t>
        </is>
      </c>
      <c r="E1062" s="16" t="inlineStr">
        <is>
          <t>公式</t>
        </is>
      </c>
      <c r="F1062" s="17" t="inlineStr">
        <is>
          <t>https://intercom.help/eatwith/en/articles/986192-what-is-the-cancellation-policy</t>
        </is>
      </c>
      <c r="G1062" s="16" t="inlineStr">
        <is>
          <t>キャンセル期限ポリシー(期限前は全額返金・期限後は返金なし)で、ゲストの無断欠席・遅刻は返金なしかつホストに支払い(no-show 記事)。ホストが期限を設定可(既定48時間前)。</t>
        </is>
      </c>
    </row>
    <row r="1063">
      <c r="A1063" s="16" t="inlineStr">
        <is>
          <t>Eatwith</t>
        </is>
      </c>
      <c r="B1063" s="16" t="inlineStr">
        <is>
          <t>TS05</t>
        </is>
      </c>
      <c r="C1063" s="16" t="inlineStr">
        <is>
          <t>参加者情報の保護</t>
        </is>
      </c>
      <c r="D1063" s="13" t="inlineStr">
        <is>
          <t>✅</t>
        </is>
      </c>
      <c r="E1063" s="16" t="inlineStr">
        <is>
          <t>公式</t>
        </is>
      </c>
      <c r="F1063" s="17" t="inlineStr">
        <is>
          <t>https://intercom.help/eatwith/en/articles/432234-how-do-i-know-if-a-guest-can-be-trusted</t>
        </is>
      </c>
      <c r="G1063" s="16" t="inlineStr">
        <is>
          <t>ホストの住所・連絡先はホストが予約を承認するまでゲストに開示されない。確定前の連絡先共有は禁止。</t>
        </is>
      </c>
    </row>
    <row r="1064">
      <c r="A1064" s="16" t="inlineStr">
        <is>
          <t>Eatwith</t>
        </is>
      </c>
      <c r="B1064" s="16" t="inlineStr">
        <is>
          <t>TS06</t>
        </is>
      </c>
      <c r="C1064" s="16" t="inlineStr">
        <is>
          <t>直接取引の抑止</t>
        </is>
      </c>
      <c r="D1064" s="13" t="inlineStr">
        <is>
          <t>✅</t>
        </is>
      </c>
      <c r="E1064" s="16" t="inlineStr">
        <is>
          <t>公式</t>
        </is>
      </c>
      <c r="F1064" s="17" t="inlineStr">
        <is>
          <t>https://intercom.help/eatwith/en/articles/432243-are-payments-in-cash-allowed</t>
        </is>
      </c>
      <c r="G1064" s="16" t="inlineStr">
        <is>
          <t>オフライン・現金払いは規約で禁止(違反ホストは削除の可能性)。確定前の連絡先共有も禁止でやり取りはサイト内に限る。</t>
        </is>
      </c>
    </row>
    <row r="1065">
      <c r="A1065" s="16" t="inlineStr">
        <is>
          <t>Eatwith</t>
        </is>
      </c>
      <c r="B1065" s="16" t="inlineStr">
        <is>
          <t>FD01</t>
        </is>
      </c>
      <c r="C1065" s="16" t="inlineStr">
        <is>
          <t>メニューの事前注文・選択</t>
        </is>
      </c>
      <c r="D1065" s="13" t="inlineStr">
        <is>
          <t>？</t>
        </is>
      </c>
      <c r="E1065" s="16" t="inlineStr">
        <is>
          <t>なし</t>
        </is>
      </c>
      <c r="F1065" s="17" t="inlineStr">
        <is>
          <t>https://intercom.help/eatwith/en/articles/432393-what-is-included-in-the-price-of-an-experience</t>
        </is>
      </c>
      <c r="G1065" s="16" t="inlineStr">
        <is>
          <t>価格に食事・飲み物を含むのが基本(ホストの記載による)。ゲストが料理を選ぶ・注文する機能は確認できず。</t>
        </is>
      </c>
    </row>
    <row r="1066">
      <c r="A1066" s="16" t="inlineStr">
        <is>
          <t>Eatwith</t>
        </is>
      </c>
      <c r="B1066" s="16" t="inlineStr">
        <is>
          <t>FD02</t>
        </is>
      </c>
      <c r="C1066" s="16" t="inlineStr">
        <is>
          <t>アレルギー・食の好みの登録</t>
        </is>
      </c>
      <c r="D1066" s="13" t="inlineStr">
        <is>
          <t>△</t>
        </is>
      </c>
      <c r="E1066" s="16" t="inlineStr">
        <is>
          <t>公式</t>
        </is>
      </c>
      <c r="F1066" s="17" t="inlineStr">
        <is>
          <t>https://intercom.help/eatwith/en/articles/8287460-how-do-i-know-if-my-host-can-accommodate-my-allergies-dietary-restrictions</t>
        </is>
      </c>
      <c r="G1066" s="16" t="inlineStr">
        <is>
          <t>検索フィルタ『特別食』と、体験ページ下部に対応可能なアレルギー・食事制限を表示。予約時または予約後にホストへメッセージで申告(承認はホストの返信)。登録フォーム・プロフィール保存は確認できず。</t>
        </is>
      </c>
    </row>
    <row r="1067">
      <c r="A1067" s="16" t="inlineStr">
        <is>
          <t>Eatwith</t>
        </is>
      </c>
      <c r="B1067" s="16" t="inlineStr">
        <is>
          <t>FD03</t>
        </is>
      </c>
      <c r="C1067" s="16" t="inlineStr">
        <is>
          <t>店舗向け管理画面</t>
        </is>
      </c>
      <c r="D1067" s="13" t="inlineStr">
        <is>
          <t>△</t>
        </is>
      </c>
      <c r="E1067" s="16" t="inlineStr">
        <is>
          <t>公式</t>
        </is>
      </c>
      <c r="F1067" s="17" t="inlineStr">
        <is>
          <t>https://intercom.help/eatwith/en/articles/429231-i-m-a-professional-chef-and-or-i-have-a-restaurant-can-i-be-a-host</t>
        </is>
      </c>
      <c r="G1067" s="16" t="inlineStr">
        <is>
          <t>個人ホスト向けにカレンダー・予約・支払い・インボックスのダッシュボードあり。『レストランは掲載不可』と明記(2018年11月の記事、現行は要確認)。店舗向けの画面ではない。</t>
        </is>
      </c>
    </row>
    <row r="1068">
      <c r="A1068" s="16" t="inlineStr">
        <is>
          <t>Eatwith</t>
        </is>
      </c>
      <c r="B1068" s="16" t="inlineStr">
        <is>
          <t>FD04</t>
        </is>
      </c>
      <c r="C1068" s="16" t="inlineStr">
        <is>
          <t>人数確定の店舗通知・集計</t>
        </is>
      </c>
      <c r="D1068" s="13" t="inlineStr">
        <is>
          <t>△</t>
        </is>
      </c>
      <c r="E1068" s="16" t="inlineStr">
        <is>
          <t>公式</t>
        </is>
      </c>
      <c r="F1068" s="17" t="inlineStr">
        <is>
          <t>https://intercom.help/eatwith/en/articles/8032004-hosts-calendar-how-to-manage-your-availability</t>
        </is>
      </c>
      <c r="G1068" s="16" t="inlineStr">
        <is>
          <t>ホストのカレンダーに予約人数が表示され、予約リクエストが通知される。仕込み数などの集計・店舗への自動通知は記述なし。</t>
        </is>
      </c>
    </row>
    <row r="1069">
      <c r="A1069" s="16" t="inlineStr">
        <is>
          <t>Eatwith</t>
        </is>
      </c>
      <c r="B1069" s="16" t="inlineStr">
        <is>
          <t>FD05</t>
        </is>
      </c>
      <c r="C1069" s="16" t="inlineStr">
        <is>
          <t>席の確保・貸切の連携</t>
        </is>
      </c>
      <c r="D1069" s="13" t="inlineStr">
        <is>
          <t>✅</t>
        </is>
      </c>
      <c r="E1069" s="16" t="inlineStr">
        <is>
          <t>公式</t>
        </is>
      </c>
      <c r="F1069" s="17" t="inlineStr">
        <is>
          <t>https://intercom.help/eatwith/en/articles/5662208-hosting-private-and-or-open-events-on-eatwith</t>
        </is>
      </c>
      <c r="G1069" s="16" t="inlineStr">
        <is>
          <t>ホストの席を予約する形。公開イベントは他のゲストと相席、プライベートイベントは貸切(最小人数を満たす団体)。店舗ではなく個人ホストの自宅等が主。</t>
        </is>
      </c>
    </row>
    <row r="1070">
      <c r="A1070" s="16" t="inlineStr">
        <is>
          <t>Eatwith</t>
        </is>
      </c>
      <c r="B1070" s="16" t="inlineStr">
        <is>
          <t>FD06</t>
        </is>
      </c>
      <c r="C1070" s="16" t="inlineStr">
        <is>
          <t>コース・固定メニュー</t>
        </is>
      </c>
      <c r="D1070" s="13" t="inlineStr">
        <is>
          <t>✅</t>
        </is>
      </c>
      <c r="E1070" s="16" t="inlineStr">
        <is>
          <t>公式</t>
        </is>
      </c>
      <c r="F1070" s="17" t="inlineStr">
        <is>
          <t>https://intercom.help/eatwith/en/articles/1441940-how-to-display-your-menu</t>
        </is>
      </c>
      <c r="G1070" s="16" t="inlineStr">
        <is>
          <t>体験ごとに固定メニュー(コース名・料理名・材料)をホストが掲載し、価格に食事・飲み物を含む。ゲストが品目を選ぶ形ではない。</t>
        </is>
      </c>
    </row>
    <row r="1071">
      <c r="A1071" s="16" t="inlineStr">
        <is>
          <t>Eatwith</t>
        </is>
      </c>
      <c r="B1071" s="16" t="inlineStr">
        <is>
          <t>FD07</t>
        </is>
      </c>
      <c r="C1071" s="16" t="inlineStr">
        <is>
          <t>割り勘・個別会計</t>
        </is>
      </c>
      <c r="D1071" s="13" t="inlineStr">
        <is>
          <t>△</t>
        </is>
      </c>
      <c r="E1071" s="16" t="inlineStr">
        <is>
          <t>公式</t>
        </is>
      </c>
      <c r="F1071" s="17" t="inlineStr">
        <is>
          <t>https://intercom.help/eatwith/en/articles/4155989-managing-payments-for-private-events</t>
        </is>
      </c>
      <c r="G1071" s="16" t="inlineStr">
        <is>
          <t>プライベートイベントではゲスト同士が費用を分割して支払える(2020年6月の記事)。公開イベントは各自が席を購入。</t>
        </is>
      </c>
    </row>
    <row r="1072">
      <c r="A1072" s="16" t="inlineStr">
        <is>
          <t>Eatwith</t>
        </is>
      </c>
      <c r="B1072" s="16" t="inlineStr">
        <is>
          <t>FD08</t>
        </is>
      </c>
      <c r="C1072" s="16" t="inlineStr">
        <is>
          <t>店探し・店選び支援</t>
        </is>
      </c>
      <c r="D1072" s="13" t="inlineStr">
        <is>
          <t>✅</t>
        </is>
      </c>
      <c r="E1072" s="16" t="inlineStr">
        <is>
          <t>公式</t>
        </is>
      </c>
      <c r="F1072" s="17" t="inlineStr">
        <is>
          <t>https://intercom.help/eatwith/en/articles/8279528-how-do-i-use-the-filters-and-the-map-to-find-an-experience</t>
        </is>
      </c>
      <c r="G1072" s="16" t="inlineStr">
        <is>
          <t>都市・日付・人数・料理・価格・特別食・地図で比較検索。団体の幹事向けにプライベートイベントの依頼導線(ホストへ事前メッセージも可)。</t>
        </is>
      </c>
    </row>
    <row r="1073">
      <c r="A1073" s="16" t="inlineStr">
        <is>
          <t>Eatwith</t>
        </is>
      </c>
      <c r="B1073" s="16" t="inlineStr">
        <is>
          <t>FD09</t>
        </is>
      </c>
      <c r="C1073" s="16" t="inlineStr">
        <is>
          <t>売り切れ・限定数の管理</t>
        </is>
      </c>
      <c r="D1073" s="13" t="inlineStr">
        <is>
          <t>✅</t>
        </is>
      </c>
      <c r="E1073" s="16" t="inlineStr">
        <is>
          <t>公式</t>
        </is>
      </c>
      <c r="F1073" s="17" t="inlineStr">
        <is>
          <t>https://intercom.help/eatwith/en/articles/5662208-hosting-private-and-or-open-events-on-eatwith</t>
        </is>
      </c>
      <c r="G1073" s="16" t="inlineStr">
        <is>
          <t>ホストが最小・最大人数を設定、日付を閉じる・凍結、即時予約の設定。残席表示は確認できず。</t>
        </is>
      </c>
    </row>
    <row r="1074">
      <c r="A1074" s="16" t="inlineStr">
        <is>
          <t>Eatwith</t>
        </is>
      </c>
      <c r="B1074" s="16" t="inlineStr">
        <is>
          <t>FD10</t>
        </is>
      </c>
      <c r="C1074" s="16" t="inlineStr">
        <is>
          <t>提供形態の選択</t>
        </is>
      </c>
      <c r="D1074" s="13" t="inlineStr">
        <is>
          <t>？</t>
        </is>
      </c>
      <c r="E1074" s="16" t="inlineStr">
        <is>
          <t>なし</t>
        </is>
      </c>
      <c r="F1074" s="17" t="inlineStr">
        <is>
          <t>https://intercom.help/eatwith/en/articles/429237-what-type-of-experience-can-i-offer</t>
        </is>
      </c>
      <c r="G1074" s="16" t="inlineStr">
        <is>
          <t>提供形態の選択は確認できず。体験は1日完結の会食・料理教室・ツアーで、オンライン・テイクアウト・デリバリーの記述なし(二次: 2021年にオンライン体験のアフィリエイト記事あり)。</t>
        </is>
      </c>
    </row>
    <row r="1075">
      <c r="A1075" s="16" t="inlineStr">
        <is>
          <t>Eatwith</t>
        </is>
      </c>
      <c r="B1075" s="16" t="inlineStr">
        <is>
          <t>MN01</t>
        </is>
      </c>
      <c r="C1075" s="16" t="inlineStr">
        <is>
          <t>手数料の明示</t>
        </is>
      </c>
      <c r="D1075" s="13" t="inlineStr">
        <is>
          <t>✅</t>
        </is>
      </c>
      <c r="E1075" s="16" t="inlineStr">
        <is>
          <t>公式</t>
        </is>
      </c>
      <c r="F1075" s="17" t="inlineStr">
        <is>
          <t>https://intercom.help/eatwith/en/articles/4118435-pricing-your-experiences</t>
        </is>
      </c>
      <c r="G1075" s="16" t="inlineStr">
        <is>
          <t>ホスト手数料なしで、ゲストが30%を上乗せ(表示価格=設定価格+30%、例$20→$26)。他の手数料なし。fee記事(2023-09)には『パートナーサイト掲載時は30%に引き上げ』とも書かれ記述が混在。</t>
        </is>
      </c>
    </row>
    <row r="1076">
      <c r="A1076" s="16" t="inlineStr">
        <is>
          <t>Eatwith</t>
        </is>
      </c>
      <c r="B1076" s="16" t="inlineStr">
        <is>
          <t>MN02</t>
        </is>
      </c>
      <c r="C1076" s="16" t="inlineStr">
        <is>
          <t>主催者向け有料プラン</t>
        </is>
      </c>
      <c r="D1076" s="13" t="inlineStr">
        <is>
          <t>❌</t>
        </is>
      </c>
      <c r="E1076" s="16" t="inlineStr">
        <is>
          <t>公式</t>
        </is>
      </c>
      <c r="F1076" s="17" t="inlineStr">
        <is>
          <t>https://intercom.help/eatwith/en/articles/432349-how-much-does-it-cost-to-host-with-eatwith</t>
        </is>
      </c>
      <c r="G1076" s="16" t="inlineStr">
        <is>
          <t>ホスト向けサブスク・有料プランの記述なし(ホストは設定価格の100%を受け取り他の手数料なし)。</t>
        </is>
      </c>
    </row>
    <row r="1077">
      <c r="A1077" s="16" t="inlineStr">
        <is>
          <t>Eatwith</t>
        </is>
      </c>
      <c r="B1077" s="16" t="inlineStr">
        <is>
          <t>MN03</t>
        </is>
      </c>
      <c r="C1077" s="16" t="inlineStr">
        <is>
          <t>任意チップ・寄付</t>
        </is>
      </c>
      <c r="D1077" s="13" t="inlineStr">
        <is>
          <t>？</t>
        </is>
      </c>
      <c r="E1077" s="16" t="inlineStr">
        <is>
          <t>なし</t>
        </is>
      </c>
      <c r="F1077" s="17" t="inlineStr">
        <is>
          <t>https://intercom.help/eatwith/en/articles/8279504-should-i-tip-the-host-after-an-eatwith-experience-gratuity</t>
        </is>
      </c>
      <c r="G1077" s="16" t="inlineStr">
        <is>
          <t>チップは任意(現金)とされ、アプリ内のチップ上乗せ機能は確認できず。多くの都市で不要とする案内。</t>
        </is>
      </c>
    </row>
    <row r="1078">
      <c r="A1078" s="16" t="inlineStr">
        <is>
          <t>Eatwith</t>
        </is>
      </c>
      <c r="B1078" s="16" t="inlineStr">
        <is>
          <t>MN04</t>
        </is>
      </c>
      <c r="C1078" s="16" t="inlineStr">
        <is>
          <t>クーポン・割引コード</t>
        </is>
      </c>
      <c r="D1078" s="13" t="inlineStr">
        <is>
          <t>✅</t>
        </is>
      </c>
      <c r="E1078" s="16" t="inlineStr">
        <is>
          <t>公式</t>
        </is>
      </c>
      <c r="F1078" s="17" t="inlineStr">
        <is>
          <t>https://intercom.help/eatwith/en/articles/1421963-how-do-i-purchase-a-gift-card</t>
        </is>
      </c>
      <c r="G1078" s="16" t="inlineStr">
        <is>
          <t>プロモコード、ギフトカード(任意額またはプリセット)、紹介クーポン。キャンセル時はギフトカード残高に戻る。</t>
        </is>
      </c>
    </row>
    <row r="1079">
      <c r="A1079" s="16" t="inlineStr">
        <is>
          <t>Eatwith</t>
        </is>
      </c>
      <c r="B1079" s="16" t="inlineStr">
        <is>
          <t>MN05</t>
        </is>
      </c>
      <c r="C1079" s="16" t="inlineStr">
        <is>
          <t>ポイント・会員特典</t>
        </is>
      </c>
      <c r="D1079" s="13" t="inlineStr">
        <is>
          <t>？</t>
        </is>
      </c>
      <c r="E1079" s="16" t="inlineStr">
        <is>
          <t>なし</t>
        </is>
      </c>
      <c r="F1079" s="16" t="inlineStr"/>
      <c r="G1079" s="16" t="inlineStr">
        <is>
          <t>ポイント・会員特典は確認できず(ギフトカード・紹介クーポン・ホスト都合キャンセルのクレジットはあるが別機能)。</t>
        </is>
      </c>
    </row>
    <row r="1080">
      <c r="A1080" s="16" t="inlineStr">
        <is>
          <t>Pie</t>
        </is>
      </c>
      <c r="B1080" s="16" t="inlineStr">
        <is>
          <t>DS01</t>
        </is>
      </c>
      <c r="C1080" s="16" t="inlineStr">
        <is>
          <t>キーワード・カテゴリ検索</t>
        </is>
      </c>
      <c r="D1080" s="13" t="inlineStr">
        <is>
          <t>？</t>
        </is>
      </c>
      <c r="E1080" s="16" t="inlineStr">
        <is>
          <t>なし</t>
        </is>
      </c>
      <c r="F1080" s="16" t="inlineStr"/>
      <c r="G1080" s="16" t="inlineStr">
        <is>
          <t>キーワード・カテゴリ検索の記述なし(App Store説明はフィード中心)。公式サイトはSPAで本文を取得できず。</t>
        </is>
      </c>
    </row>
    <row r="1081">
      <c r="A1081" s="16" t="inlineStr">
        <is>
          <t>Pie</t>
        </is>
      </c>
      <c r="B1081" s="16" t="inlineStr">
        <is>
          <t>DS02</t>
        </is>
      </c>
      <c r="C1081" s="16" t="inlineStr">
        <is>
          <t>地域・地図検索</t>
        </is>
      </c>
      <c r="D1081" s="13" t="inlineStr">
        <is>
          <t>△</t>
        </is>
      </c>
      <c r="E1081" s="16" t="inlineStr">
        <is>
          <t>公式</t>
        </is>
      </c>
      <c r="F1081" s="17" t="inlineStr">
        <is>
          <t>https://apps.apple.com/app/id1509667820</t>
        </is>
      </c>
      <c r="G1081" s="16" t="inlineStr">
        <is>
          <t>提供都市は Chicago・Austin・Bay Area・Columbus(他都市は順次)。地図・都市での絞り込みUIの記述は確認できず。</t>
        </is>
      </c>
    </row>
    <row r="1082">
      <c r="A1082" s="16" t="inlineStr">
        <is>
          <t>Pie</t>
        </is>
      </c>
      <c r="B1082" s="16" t="inlineStr">
        <is>
          <t>DS03</t>
        </is>
      </c>
      <c r="C1082" s="16" t="inlineStr">
        <is>
          <t>日付・価格等の絞り込み</t>
        </is>
      </c>
      <c r="D1082" s="13" t="inlineStr">
        <is>
          <t>？</t>
        </is>
      </c>
      <c r="E1082" s="16" t="inlineStr">
        <is>
          <t>なし</t>
        </is>
      </c>
      <c r="F1082" s="16" t="inlineStr"/>
      <c r="G1082" s="16" t="inlineStr">
        <is>
          <t>日付・価格での絞り込みの記述なし(イベントは主に無料)。</t>
        </is>
      </c>
    </row>
    <row r="1083">
      <c r="A1083" s="16" t="inlineStr">
        <is>
          <t>Pie</t>
        </is>
      </c>
      <c r="B1083" s="16" t="inlineStr">
        <is>
          <t>DS04</t>
        </is>
      </c>
      <c r="C1083" s="16" t="inlineStr">
        <is>
          <t>パーソナライズ推薦</t>
        </is>
      </c>
      <c r="D1083" s="13" t="inlineStr">
        <is>
          <t>✅</t>
        </is>
      </c>
      <c r="E1083" s="16" t="inlineStr">
        <is>
          <t>公式</t>
        </is>
      </c>
      <c r="F1083" s="17" t="inlineStr">
        <is>
          <t>https://apps.apple.com/app/id1509667820</t>
        </is>
      </c>
      <c r="G1083" s="16" t="inlineStr">
        <is>
          <t>興味に合う無料の地元イベントを出すパーソナライズ・フィード(友人・友人の友人の参加予定を表示)。2025-12に『つながりの参加予定が見える』フィードへ変更(二次: TechCrunch 2026-08)。</t>
        </is>
      </c>
    </row>
    <row r="1084">
      <c r="A1084" s="16" t="inlineStr">
        <is>
          <t>Pie</t>
        </is>
      </c>
      <c r="B1084" s="16" t="inlineStr">
        <is>
          <t>DS05</t>
        </is>
      </c>
      <c r="C1084" s="16" t="inlineStr">
        <is>
          <t>フォロー</t>
        </is>
      </c>
      <c r="D1084" s="13" t="inlineStr">
        <is>
          <t>△</t>
        </is>
      </c>
      <c r="E1084" s="16" t="inlineStr">
        <is>
          <t>公式</t>
        </is>
      </c>
      <c r="F1084" s="17" t="inlineStr">
        <is>
          <t>https://apps.apple.com/app/id1509667820</t>
        </is>
      </c>
      <c r="G1084" s="16" t="inlineStr">
        <is>
          <t>Communities(Community Homes)にコミュニティフィードがありグループ単位で新着が流れる(Community Homesは2026-08開始: TechCrunch)。主催者単位のフォローは確認できず。</t>
        </is>
      </c>
    </row>
    <row r="1085">
      <c r="A1085" s="16" t="inlineStr">
        <is>
          <t>Pie</t>
        </is>
      </c>
      <c r="B1085" s="16" t="inlineStr">
        <is>
          <t>DS06</t>
        </is>
      </c>
      <c r="C1085" s="16" t="inlineStr">
        <is>
          <t>ブックマーク・ウィッシュリスト</t>
        </is>
      </c>
      <c r="D1085" s="13" t="inlineStr">
        <is>
          <t>✅</t>
        </is>
      </c>
      <c r="E1085" s="16" t="inlineStr">
        <is>
          <t>公式</t>
        </is>
      </c>
      <c r="F1085" s="17" t="inlineStr">
        <is>
          <t>https://apps.apple.com/app/id1509667820</t>
        </is>
      </c>
      <c r="G1085" s="16" t="inlineStr">
        <is>
          <t>Plans(予定)のブックマーク機能(What's New)。</t>
        </is>
      </c>
    </row>
    <row r="1086">
      <c r="A1086" s="16" t="inlineStr">
        <is>
          <t>Pie</t>
        </is>
      </c>
      <c r="B1086" s="16" t="inlineStr">
        <is>
          <t>DS07</t>
        </is>
      </c>
      <c r="C1086" s="16" t="inlineStr">
        <is>
          <t>公開ディレクトリ・都市×カテゴリページ</t>
        </is>
      </c>
      <c r="D1086" s="13" t="inlineStr">
        <is>
          <t>？</t>
        </is>
      </c>
      <c r="E1086" s="16" t="inlineStr">
        <is>
          <t>なし</t>
        </is>
      </c>
      <c r="F1086" s="16" t="inlineStr"/>
      <c r="G1086" s="16" t="inlineStr">
        <is>
          <t>検索流入を受ける公開の都市別・カテゴリ別ページは確認できず(公式サイトがSPAで本文取得不可)。</t>
        </is>
      </c>
    </row>
    <row r="1087">
      <c r="A1087" s="16" t="inlineStr">
        <is>
          <t>Pie</t>
        </is>
      </c>
      <c r="B1087" s="16" t="inlineStr">
        <is>
          <t>DS08</t>
        </is>
      </c>
      <c r="C1087" s="16" t="inlineStr">
        <is>
          <t>キュレーション・特集</t>
        </is>
      </c>
      <c r="D1087" s="13" t="inlineStr">
        <is>
          <t>？</t>
        </is>
      </c>
      <c r="E1087" s="16" t="inlineStr">
        <is>
          <t>なし</t>
        </is>
      </c>
      <c r="F1087" s="16" t="inlineStr"/>
      <c r="G1087" s="16" t="inlineStr">
        <is>
          <t>運営の特集・ランキング面は確認できず(Pie自身はイベントを主催せず参加者が作る: 二次 AOL 2024)。</t>
        </is>
      </c>
    </row>
    <row r="1088">
      <c r="A1088" s="16" t="inlineStr">
        <is>
          <t>Pie</t>
        </is>
      </c>
      <c r="B1088" s="16" t="inlineStr">
        <is>
          <t>JN01</t>
        </is>
      </c>
      <c r="C1088" s="16" t="inlineStr">
        <is>
          <t>アカウント不要の申込</t>
        </is>
      </c>
      <c r="D1088" s="13" t="inlineStr">
        <is>
          <t>？</t>
        </is>
      </c>
      <c r="E1088" s="16" t="inlineStr">
        <is>
          <t>なし</t>
        </is>
      </c>
      <c r="F1088" s="16" t="inlineStr"/>
      <c r="G1088" s="16" t="inlineStr">
        <is>
          <t>アカウント不要の申込は確認できず(サインアップは電話番号: 二次 AOL 2024)。外部のRSVPリンク・チケットへ誘導するイベントもある。</t>
        </is>
      </c>
    </row>
    <row r="1089">
      <c r="A1089" s="16" t="inlineStr">
        <is>
          <t>Pie</t>
        </is>
      </c>
      <c r="B1089" s="16" t="inlineStr">
        <is>
          <t>JN02</t>
        </is>
      </c>
      <c r="C1089" s="16" t="inlineStr">
        <is>
          <t>簡易ログイン</t>
        </is>
      </c>
      <c r="D1089" s="13" t="inlineStr">
        <is>
          <t>△</t>
        </is>
      </c>
      <c r="E1089" s="16" t="inlineStr">
        <is>
          <t>二次</t>
        </is>
      </c>
      <c r="F1089" s="17" t="inlineStr">
        <is>
          <t>https://www.aol.com/news/tried-pie-social-million-dollar-130801270.html</t>
        </is>
      </c>
      <c r="G1089" s="16" t="inlineStr">
        <is>
          <t>二次: 電話番号でサインアップ(Business Insider 2024-11)。公式ストア説明にログイン方式の記述なし。</t>
        </is>
      </c>
    </row>
    <row r="1090">
      <c r="A1090" s="16" t="inlineStr">
        <is>
          <t>Pie</t>
        </is>
      </c>
      <c r="B1090" s="16" t="inlineStr">
        <is>
          <t>JN03</t>
        </is>
      </c>
      <c r="C1090" s="16" t="inlineStr">
        <is>
          <t>承認制・参加申請</t>
        </is>
      </c>
      <c r="D1090" s="13" t="inlineStr">
        <is>
          <t>？</t>
        </is>
      </c>
      <c r="E1090" s="16" t="inlineStr">
        <is>
          <t>なし</t>
        </is>
      </c>
      <c r="F1090" s="16" t="inlineStr"/>
      <c r="G1090" s="16" t="inlineStr">
        <is>
          <t>主催者による参加承認の記述なし(イベントは公開・非公開、snowballで拡散)。</t>
        </is>
      </c>
    </row>
    <row r="1091">
      <c r="A1091" s="16" t="inlineStr">
        <is>
          <t>Pie</t>
        </is>
      </c>
      <c r="B1091" s="16" t="inlineStr">
        <is>
          <t>JN04</t>
        </is>
      </c>
      <c r="C1091" s="16" t="inlineStr">
        <is>
          <t>ウェイトリスト</t>
        </is>
      </c>
      <c r="D1091" s="13" t="inlineStr">
        <is>
          <t>？</t>
        </is>
      </c>
      <c r="E1091" s="16" t="inlineStr">
        <is>
          <t>なし</t>
        </is>
      </c>
      <c r="F1091" s="16" t="inlineStr"/>
      <c r="G1091" s="16" t="inlineStr">
        <is>
          <t>ウェイトリストの記述なし。</t>
        </is>
      </c>
    </row>
    <row r="1092">
      <c r="A1092" s="16" t="inlineStr">
        <is>
          <t>Pie</t>
        </is>
      </c>
      <c r="B1092" s="16" t="inlineStr">
        <is>
          <t>JN05</t>
        </is>
      </c>
      <c r="C1092" s="16" t="inlineStr">
        <is>
          <t>定員・残席の表示</t>
        </is>
      </c>
      <c r="D1092" s="13" t="inlineStr">
        <is>
          <t>？</t>
        </is>
      </c>
      <c r="E1092" s="16" t="inlineStr">
        <is>
          <t>なし</t>
        </is>
      </c>
      <c r="F1092" s="16" t="inlineStr"/>
      <c r="G1092" s="16" t="inlineStr">
        <is>
          <t>定員・残席の表示は確認できず。『一部イベントは参加枠が限られる』との二次報道のみ(AOL 2024)。</t>
        </is>
      </c>
    </row>
    <row r="1093">
      <c r="A1093" s="16" t="inlineStr">
        <is>
          <t>Pie</t>
        </is>
      </c>
      <c r="B1093" s="16" t="inlineStr">
        <is>
          <t>JN06</t>
        </is>
      </c>
      <c r="C1093" s="16" t="inlineStr">
        <is>
          <t>追加質問・同行者の入力</t>
        </is>
      </c>
      <c r="D1093" s="13" t="inlineStr">
        <is>
          <t>？</t>
        </is>
      </c>
      <c r="E1093" s="16" t="inlineStr">
        <is>
          <t>なし</t>
        </is>
      </c>
      <c r="F1093" s="16" t="inlineStr"/>
      <c r="G1093" s="16" t="inlineStr">
        <is>
          <t>追加質問・同行者入力の記述なし。『友人同伴可』のイベントがある(二次: AOL 2024)。</t>
        </is>
      </c>
    </row>
    <row r="1094">
      <c r="A1094" s="16" t="inlineStr">
        <is>
          <t>Pie</t>
        </is>
      </c>
      <c r="B1094" s="16" t="inlineStr">
        <is>
          <t>JN07</t>
        </is>
      </c>
      <c r="C1094" s="16" t="inlineStr">
        <is>
          <t>参加者のセルフキャンセル</t>
        </is>
      </c>
      <c r="D1094" s="13" t="inlineStr">
        <is>
          <t>？</t>
        </is>
      </c>
      <c r="E1094" s="16" t="inlineStr">
        <is>
          <t>なし</t>
        </is>
      </c>
      <c r="F1094" s="16" t="inlineStr"/>
      <c r="G1094" s="16" t="inlineStr">
        <is>
          <t>セルフキャンセル・返金の記述なし(無料イベントが中心)。RSVPはYes/Maybe/Noで変更できる(二次: AOL 2024)。</t>
        </is>
      </c>
    </row>
    <row r="1095">
      <c r="A1095" s="16" t="inlineStr">
        <is>
          <t>Pie</t>
        </is>
      </c>
      <c r="B1095" s="16" t="inlineStr">
        <is>
          <t>JN08</t>
        </is>
      </c>
      <c r="C1095" s="16" t="inlineStr">
        <is>
          <t>カレンダー追加</t>
        </is>
      </c>
      <c r="D1095" s="13" t="inlineStr">
        <is>
          <t>✅</t>
        </is>
      </c>
      <c r="E1095" s="16" t="inlineStr">
        <is>
          <t>公式</t>
        </is>
      </c>
      <c r="F1095" s="17" t="inlineStr">
        <is>
          <t>https://apps.apple.com/app/id1509667820</t>
        </is>
      </c>
      <c r="G1095" s="16" t="inlineStr">
        <is>
          <t>Calendar sync(カレンダーへの追加)とカレンダー購読(What's New)。</t>
        </is>
      </c>
    </row>
    <row r="1096">
      <c r="A1096" s="16" t="inlineStr">
        <is>
          <t>Pie</t>
        </is>
      </c>
      <c r="B1096" s="16" t="inlineStr">
        <is>
          <t>JN09</t>
        </is>
      </c>
      <c r="C1096" s="16" t="inlineStr">
        <is>
          <t>開催前リマインド</t>
        </is>
      </c>
      <c r="D1096" s="13" t="inlineStr">
        <is>
          <t>？</t>
        </is>
      </c>
      <c r="E1096" s="16" t="inlineStr">
        <is>
          <t>なし</t>
        </is>
      </c>
      <c r="F1096" s="16" t="inlineStr"/>
      <c r="G1096" s="16" t="inlineStr">
        <is>
          <t>開催前リマインドの記述なし。</t>
        </is>
      </c>
    </row>
    <row r="1097">
      <c r="A1097" s="16" t="inlineStr">
        <is>
          <t>Pie</t>
        </is>
      </c>
      <c r="B1097" s="16" t="inlineStr">
        <is>
          <t>JN10</t>
        </is>
      </c>
      <c r="C1097" s="16" t="inlineStr">
        <is>
          <t>QRチケット・当日受付</t>
        </is>
      </c>
      <c r="D1097" s="13" t="inlineStr">
        <is>
          <t>△</t>
        </is>
      </c>
      <c r="E1097" s="16" t="inlineStr">
        <is>
          <t>公式</t>
        </is>
      </c>
      <c r="F1097" s="17" t="inlineStr">
        <is>
          <t>https://apps.apple.com/app/id1509667820</t>
        </is>
      </c>
      <c r="G1097" s="16" t="inlineStr">
        <is>
          <t>Apple Walletチケットに対応(What's New)。当日受付の運用は確認できず。外部RSVPリンクでQRを受け取るイベントもある(二次: AOL 2024)。</t>
        </is>
      </c>
    </row>
    <row r="1098">
      <c r="A1098" s="16" t="inlineStr">
        <is>
          <t>Pie</t>
        </is>
      </c>
      <c r="B1098" s="16" t="inlineStr">
        <is>
          <t>JN11</t>
        </is>
      </c>
      <c r="C1098" s="16" t="inlineStr">
        <is>
          <t>参加者一覧の閲覧</t>
        </is>
      </c>
      <c r="D1098" s="13" t="inlineStr">
        <is>
          <t>△</t>
        </is>
      </c>
      <c r="E1098" s="16" t="inlineStr">
        <is>
          <t>公式</t>
        </is>
      </c>
      <c r="F1098" s="17" t="inlineStr">
        <is>
          <t>https://apps.apple.com/app/id1509667820</t>
        </is>
      </c>
      <c r="G1098" s="16" t="inlineStr">
        <is>
          <t>友人・友人の友人が参加予定のイベントがフィードに出る。全参加者の一覧ではなく、つながりの範囲に限られる。参加者同士のメッセージあり(二次: AOL 2024)。</t>
        </is>
      </c>
    </row>
    <row r="1099">
      <c r="A1099" s="16" t="inlineStr">
        <is>
          <t>Pie</t>
        </is>
      </c>
      <c r="B1099" s="16" t="inlineStr">
        <is>
          <t>JN12</t>
        </is>
      </c>
      <c r="C1099" s="16" t="inlineStr">
        <is>
          <t>イベント後の体験</t>
        </is>
      </c>
      <c r="D1099" s="13" t="inlineStr">
        <is>
          <t>？</t>
        </is>
      </c>
      <c r="E1099" s="16" t="inlineStr">
        <is>
          <t>なし</t>
        </is>
      </c>
      <c r="F1099" s="16" t="inlineStr"/>
      <c r="G1099" s="16" t="inlineStr">
        <is>
          <t>事後のレビュー・写真アルバムの記述なし(チャットは継続する可能性があるが未確認)。</t>
        </is>
      </c>
    </row>
    <row r="1100">
      <c r="A1100" s="16" t="inlineStr">
        <is>
          <t>Pie</t>
        </is>
      </c>
      <c r="B1100" s="16" t="inlineStr">
        <is>
          <t>SH01</t>
        </is>
      </c>
      <c r="C1100" s="16" t="inlineStr">
        <is>
          <t>共有用URL・OGPカード</t>
        </is>
      </c>
      <c r="D1100" s="13" t="inlineStr">
        <is>
          <t>？</t>
        </is>
      </c>
      <c r="E1100" s="16" t="inlineStr">
        <is>
          <t>なし</t>
        </is>
      </c>
      <c r="F1100" s="16" t="inlineStr"/>
      <c r="G1100" s="16" t="inlineStr">
        <is>
          <t>共有URLのOGPカードの記述なし(リンク共有は可: SH02)。</t>
        </is>
      </c>
    </row>
    <row r="1101">
      <c r="A1101" s="16" t="inlineStr">
        <is>
          <t>Pie</t>
        </is>
      </c>
      <c r="B1101" s="16" t="inlineStr">
        <is>
          <t>SH02</t>
        </is>
      </c>
      <c r="C1101" s="16" t="inlineStr">
        <is>
          <t>SNS・メッセージ共有ボタン</t>
        </is>
      </c>
      <c r="D1101" s="13" t="inlineStr">
        <is>
          <t>✅</t>
        </is>
      </c>
      <c r="E1101" s="16" t="inlineStr">
        <is>
          <t>公式</t>
        </is>
      </c>
      <c r="F1101" s="17" t="inlineStr">
        <is>
          <t>https://apps.apple.com/app/id1509667820</t>
        </is>
      </c>
      <c r="G1101" s="16" t="inlineStr">
        <is>
          <t>リンク・テキストメッセージ・AirDrop・Instagram Storiesで共有。</t>
        </is>
      </c>
    </row>
    <row r="1102">
      <c r="A1102" s="16" t="inlineStr">
        <is>
          <t>Pie</t>
        </is>
      </c>
      <c r="B1102" s="16" t="inlineStr">
        <is>
          <t>SH03</t>
        </is>
      </c>
      <c r="C1102" s="16" t="inlineStr">
        <is>
          <t>友人・同行者の招待導線</t>
        </is>
      </c>
      <c r="D1102" s="13" t="inlineStr">
        <is>
          <t>✅</t>
        </is>
      </c>
      <c r="E1102" s="16" t="inlineStr">
        <is>
          <t>公式</t>
        </is>
      </c>
      <c r="F1102" s="17" t="inlineStr">
        <is>
          <t>https://apps.apple.com/app/id1509667820</t>
        </is>
      </c>
      <c r="G1102" s="16" t="inlineStr">
        <is>
          <t>Invites(招待)機能と、非公開イベントを『snowball』モードで友人の友人へ広げる導線。友人(Friends)ページあり(二次: AOL 2024)。</t>
        </is>
      </c>
    </row>
    <row r="1103">
      <c r="A1103" s="16" t="inlineStr">
        <is>
          <t>Pie</t>
        </is>
      </c>
      <c r="B1103" s="16" t="inlineStr">
        <is>
          <t>SH04</t>
        </is>
      </c>
      <c r="C1103" s="16" t="inlineStr">
        <is>
          <t>紹介リンク・紹介の可視化</t>
        </is>
      </c>
      <c r="D1103" s="13" t="inlineStr">
        <is>
          <t>△</t>
        </is>
      </c>
      <c r="E1103" s="16" t="inlineStr">
        <is>
          <t>二次</t>
        </is>
      </c>
      <c r="F1103" s="17" t="inlineStr">
        <is>
          <t>https://www.mediapost.com/publications/article/416426/can-pie-cure-loneliness-new-cmo-believes-it-can.html</t>
        </is>
      </c>
      <c r="G1103" s="16" t="inlineStr">
        <is>
          <t>二次: Creators Clubは、RSVP経由で新規アカウントを連れてきたホストに支払う(紹介の追跡あり)。参加者向けの紹介リンク・可視化は確認できず。</t>
        </is>
      </c>
    </row>
    <row r="1104">
      <c r="A1104" s="16" t="inlineStr">
        <is>
          <t>Pie</t>
        </is>
      </c>
      <c r="B1104" s="16" t="inlineStr">
        <is>
          <t>SH05</t>
        </is>
      </c>
      <c r="C1104" s="16" t="inlineStr">
        <is>
          <t>連絡先・SNS連携で友人発見</t>
        </is>
      </c>
      <c r="D1104" s="13" t="inlineStr">
        <is>
          <t>？</t>
        </is>
      </c>
      <c r="E1104" s="16" t="inlineStr">
        <is>
          <t>なし</t>
        </is>
      </c>
      <c r="F1104" s="16" t="inlineStr"/>
      <c r="G1104" s="16" t="inlineStr">
        <is>
          <t>連絡先・SNS連携による友人発見の記述なし(『友人の友人』グラフはあるが連携方法は未確認)。</t>
        </is>
      </c>
    </row>
    <row r="1105">
      <c r="A1105" s="16" t="inlineStr">
        <is>
          <t>Pie</t>
        </is>
      </c>
      <c r="B1105" s="16" t="inlineStr">
        <is>
          <t>SH06</t>
        </is>
      </c>
      <c r="C1105" s="16" t="inlineStr">
        <is>
          <t>社会的証明の表示</t>
        </is>
      </c>
      <c r="D1105" s="13" t="inlineStr">
        <is>
          <t>✅</t>
        </is>
      </c>
      <c r="E1105" s="16" t="inlineStr">
        <is>
          <t>公式</t>
        </is>
      </c>
      <c r="F1105" s="17" t="inlineStr">
        <is>
          <t>https://apps.apple.com/app/id1509667820</t>
        </is>
      </c>
      <c r="G1105" s="16" t="inlineStr">
        <is>
          <t>友人・友人の友人の参加予定をフィードに表示する社会的証明。グロース根拠あり(2025-12のフィード変更後、アプリ滞在が2分→10分と自社発言: TechCrunch 2026-08)。</t>
        </is>
      </c>
    </row>
    <row r="1106">
      <c r="A1106" s="16" t="inlineStr">
        <is>
          <t>Pie</t>
        </is>
      </c>
      <c r="B1106" s="16" t="inlineStr">
        <is>
          <t>SH07</t>
        </is>
      </c>
      <c r="C1106" s="16" t="inlineStr">
        <is>
          <t>QR・短縮URL・チラシ生成</t>
        </is>
      </c>
      <c r="D1106" s="13" t="inlineStr">
        <is>
          <t>△</t>
        </is>
      </c>
      <c r="E1106" s="16" t="inlineStr">
        <is>
          <t>公式</t>
        </is>
      </c>
      <c r="F1106" s="17" t="inlineStr">
        <is>
          <t>https://apps.apple.com/app/id1509667820</t>
        </is>
      </c>
      <c r="G1106" s="16" t="inlineStr">
        <is>
          <t>コミュニティ共有用のQRコード(What's New)。短縮URL・チラシ/ポスター生成は確認できず。</t>
        </is>
      </c>
    </row>
    <row r="1107">
      <c r="A1107" s="16" t="inlineStr">
        <is>
          <t>Pie</t>
        </is>
      </c>
      <c r="B1107" s="16" t="inlineStr">
        <is>
          <t>SH08</t>
        </is>
      </c>
      <c r="C1107" s="16" t="inlineStr">
        <is>
          <t>埋め込みウィジェット</t>
        </is>
      </c>
      <c r="D1107" s="13" t="inlineStr">
        <is>
          <t>？</t>
        </is>
      </c>
      <c r="E1107" s="16" t="inlineStr">
        <is>
          <t>なし</t>
        </is>
      </c>
      <c r="F1107" s="16" t="inlineStr"/>
      <c r="G1107" s="16" t="inlineStr">
        <is>
          <t>埋め込みウィジェットの記述なし。</t>
        </is>
      </c>
    </row>
    <row r="1108">
      <c r="A1108" s="16" t="inlineStr">
        <is>
          <t>Pie</t>
        </is>
      </c>
      <c r="B1108" s="16" t="inlineStr">
        <is>
          <t>OP01</t>
        </is>
      </c>
      <c r="C1108" s="16" t="inlineStr">
        <is>
          <t>簡単な作成</t>
        </is>
      </c>
      <c r="D1108" s="13" t="inlineStr">
        <is>
          <t>✅</t>
        </is>
      </c>
      <c r="E1108" s="16" t="inlineStr">
        <is>
          <t>公式</t>
        </is>
      </c>
      <c r="F1108" s="17" t="inlineStr">
        <is>
          <t>https://apps.apple.com/app/id1509667820</t>
        </is>
      </c>
      <c r="G1108" s="16" t="inlineStr">
        <is>
          <t>『+』から作成でき、リンクをインポートしてプランを作成できる(What's New)。タグ付けもある。</t>
        </is>
      </c>
    </row>
    <row r="1109">
      <c r="A1109" s="16" t="inlineStr">
        <is>
          <t>Pie</t>
        </is>
      </c>
      <c r="B1109" s="16" t="inlineStr">
        <is>
          <t>OP02</t>
        </is>
      </c>
      <c r="C1109" s="16" t="inlineStr">
        <is>
          <t>コピー・繰り返し作成</t>
        </is>
      </c>
      <c r="D1109" s="13" t="inlineStr">
        <is>
          <t>？</t>
        </is>
      </c>
      <c r="E1109" s="16" t="inlineStr">
        <is>
          <t>なし</t>
        </is>
      </c>
      <c r="F1109" s="16" t="inlineStr"/>
      <c r="G1109" s="16" t="inlineStr">
        <is>
          <t>複製・繰り返し作成の記述なし(Community Homesの『定例』的な使い方は未確認)。</t>
        </is>
      </c>
    </row>
    <row r="1110">
      <c r="A1110" s="16" t="inlineStr">
        <is>
          <t>Pie</t>
        </is>
      </c>
      <c r="B1110" s="16" t="inlineStr">
        <is>
          <t>OP03</t>
        </is>
      </c>
      <c r="C1110" s="16" t="inlineStr">
        <is>
          <t>下書き・限定公開</t>
        </is>
      </c>
      <c r="D1110" s="13" t="inlineStr">
        <is>
          <t>✅</t>
        </is>
      </c>
      <c r="E1110" s="16" t="inlineStr">
        <is>
          <t>公式</t>
        </is>
      </c>
      <c r="F1110" s="17" t="inlineStr">
        <is>
          <t>https://apps.apple.com/app/id1509667820</t>
        </is>
      </c>
      <c r="G1110" s="16" t="inlineStr">
        <is>
          <t>非公開イベントと、snowballモードで拡散する公開イベントを選べる。『全てのイベントが公開ではない』(TechCrunch 2024-11)。</t>
        </is>
      </c>
    </row>
    <row r="1111">
      <c r="A1111" s="16" t="inlineStr">
        <is>
          <t>Pie</t>
        </is>
      </c>
      <c r="B1111" s="16" t="inlineStr">
        <is>
          <t>OP04</t>
        </is>
      </c>
      <c r="C1111" s="16" t="inlineStr">
        <is>
          <t>AI作成支援</t>
        </is>
      </c>
      <c r="D1111" s="13" t="inlineStr">
        <is>
          <t>？</t>
        </is>
      </c>
      <c r="E1111" s="16" t="inlineStr">
        <is>
          <t>なし</t>
        </is>
      </c>
      <c r="F1111" s="16" t="inlineStr"/>
      <c r="G1111" s="16" t="inlineStr">
        <is>
          <t>AI作成支援は確認できず。AIチャット相棒『Pienelope』(v5.24.0)と、マッチングへのChatGPT利用(二次: TechCrunch 2025-03)はあるが、イベント作成支援としての記述なし。</t>
        </is>
      </c>
    </row>
    <row r="1112">
      <c r="A1112" s="16" t="inlineStr">
        <is>
          <t>Pie</t>
        </is>
      </c>
      <c r="B1112" s="16" t="inlineStr">
        <is>
          <t>OP05</t>
        </is>
      </c>
      <c r="C1112" s="16" t="inlineStr">
        <is>
          <t>共同主催・運営メンバー権限</t>
        </is>
      </c>
      <c r="D1112" s="13" t="inlineStr">
        <is>
          <t>✅</t>
        </is>
      </c>
      <c r="E1112" s="16" t="inlineStr">
        <is>
          <t>公式</t>
        </is>
      </c>
      <c r="F1112" s="17" t="inlineStr">
        <is>
          <t>https://apps.apple.com/app/id1509667820</t>
        </is>
      </c>
      <c r="G1112" s="16" t="inlineStr">
        <is>
          <t>共同ホスト(cohosts)を追加できる(What's New)。Community Homesに管理者・メンバー権限(TechCrunch 2026-08)。</t>
        </is>
      </c>
    </row>
    <row r="1113">
      <c r="A1113" s="16" t="inlineStr">
        <is>
          <t>Pie</t>
        </is>
      </c>
      <c r="B1113" s="16" t="inlineStr">
        <is>
          <t>OP06</t>
        </is>
      </c>
      <c r="C1113" s="16" t="inlineStr">
        <is>
          <t>参加者管理・名簿出力</t>
        </is>
      </c>
      <c r="D1113" s="13" t="inlineStr">
        <is>
          <t>？</t>
        </is>
      </c>
      <c r="E1113" s="16" t="inlineStr">
        <is>
          <t>なし</t>
        </is>
      </c>
      <c r="F1113" s="16" t="inlineStr"/>
      <c r="G1113" s="16" t="inlineStr">
        <is>
          <t>参加者名簿の管理・出力の記述なし。</t>
        </is>
      </c>
    </row>
    <row r="1114">
      <c r="A1114" s="16" t="inlineStr">
        <is>
          <t>Pie</t>
        </is>
      </c>
      <c r="B1114" s="16" t="inlineStr">
        <is>
          <t>OP07</t>
        </is>
      </c>
      <c r="C1114" s="16" t="inlineStr">
        <is>
          <t>一斉メッセージ</t>
        </is>
      </c>
      <c r="D1114" s="13" t="inlineStr">
        <is>
          <t>？</t>
        </is>
      </c>
      <c r="E1114" s="16" t="inlineStr">
        <is>
          <t>なし</t>
        </is>
      </c>
      <c r="F1114" s="16" t="inlineStr"/>
      <c r="G1114" s="16" t="inlineStr">
        <is>
          <t>一斉メッセージの記述なし。グループチャットは『近日』(TechCrunch 2026-08)。</t>
        </is>
      </c>
    </row>
    <row r="1115">
      <c r="A1115" s="16" t="inlineStr">
        <is>
          <t>Pie</t>
        </is>
      </c>
      <c r="B1115" s="16" t="inlineStr">
        <is>
          <t>OP08</t>
        </is>
      </c>
      <c r="C1115" s="16" t="inlineStr">
        <is>
          <t>当日運営ツール</t>
        </is>
      </c>
      <c r="D1115" s="13" t="inlineStr">
        <is>
          <t>？</t>
        </is>
      </c>
      <c r="E1115" s="16" t="inlineStr">
        <is>
          <t>なし</t>
        </is>
      </c>
      <c r="F1115" s="16" t="inlineStr"/>
      <c r="G1115" s="16" t="inlineStr">
        <is>
          <t>当日運営ツールの記述なし。</t>
        </is>
      </c>
    </row>
    <row r="1116">
      <c r="A1116" s="16" t="inlineStr">
        <is>
          <t>Pie</t>
        </is>
      </c>
      <c r="B1116" s="16" t="inlineStr">
        <is>
          <t>OP09</t>
        </is>
      </c>
      <c r="C1116" s="16" t="inlineStr">
        <is>
          <t>売上・入金管理</t>
        </is>
      </c>
      <c r="D1116" s="13" t="inlineStr">
        <is>
          <t>？</t>
        </is>
      </c>
      <c r="E1116" s="16" t="inlineStr">
        <is>
          <t>なし</t>
        </is>
      </c>
      <c r="F1116" s="16" t="inlineStr"/>
      <c r="G1116" s="16" t="inlineStr">
        <is>
          <t>売上・入金管理の記述なし(イベントは主に無料)。Creator Fundの支払い方法は未確認。</t>
        </is>
      </c>
    </row>
    <row r="1117">
      <c r="A1117" s="16" t="inlineStr">
        <is>
          <t>Pie</t>
        </is>
      </c>
      <c r="B1117" s="16" t="inlineStr">
        <is>
          <t>OP10</t>
        </is>
      </c>
      <c r="C1117" s="16" t="inlineStr">
        <is>
          <t>流入・申込の分析</t>
        </is>
      </c>
      <c r="D1117" s="13" t="inlineStr">
        <is>
          <t>？</t>
        </is>
      </c>
      <c r="E1117" s="16" t="inlineStr">
        <is>
          <t>なし</t>
        </is>
      </c>
      <c r="F1117" s="16" t="inlineStr"/>
      <c r="G1117" s="16" t="inlineStr">
        <is>
          <t>流入・申込の分析機能の記述なし。</t>
        </is>
      </c>
    </row>
    <row r="1118">
      <c r="A1118" s="16" t="inlineStr">
        <is>
          <t>Pie</t>
        </is>
      </c>
      <c r="B1118" s="16" t="inlineStr">
        <is>
          <t>OP11</t>
        </is>
      </c>
      <c r="C1118" s="16" t="inlineStr">
        <is>
          <t>主催者ページ・グループページ</t>
        </is>
      </c>
      <c r="D1118" s="13" t="inlineStr">
        <is>
          <t>✅</t>
        </is>
      </c>
      <c r="E1118" s="16" t="inlineStr">
        <is>
          <t>公式</t>
        </is>
      </c>
      <c r="F1118" s="17" t="inlineStr">
        <is>
          <t>https://apps.apple.com/app/id1509667820</t>
        </is>
      </c>
      <c r="G1118" s="16" t="inlineStr">
        <is>
          <t>Community Homes: 共有できるホームページ・コミュニティフィード・管理ツール(App Store、TechCrunch 2026-08)。お気に入りで公開プロフィールも作れる。</t>
        </is>
      </c>
    </row>
    <row r="1119">
      <c r="A1119" s="16" t="inlineStr">
        <is>
          <t>Pie</t>
        </is>
      </c>
      <c r="B1119" s="16" t="inlineStr">
        <is>
          <t>OP12</t>
        </is>
      </c>
      <c r="C1119" s="16" t="inlineStr">
        <is>
          <t>外部ツール連携・API</t>
        </is>
      </c>
      <c r="D1119" s="13" t="inlineStr">
        <is>
          <t>△</t>
        </is>
      </c>
      <c r="E1119" s="16" t="inlineStr">
        <is>
          <t>公式</t>
        </is>
      </c>
      <c r="F1119" s="17" t="inlineStr">
        <is>
          <t>https://apps.apple.com/app/id1509667820</t>
        </is>
      </c>
      <c r="G1119" s="16" t="inlineStr">
        <is>
          <t>カレンダー購読とリンクからのプラン取り込みあり。Zoom・Slack・API等の連携は確認できず。</t>
        </is>
      </c>
    </row>
    <row r="1120">
      <c r="A1120" s="16" t="inlineStr">
        <is>
          <t>Pie</t>
        </is>
      </c>
      <c r="B1120" s="16" t="inlineStr">
        <is>
          <t>AC01</t>
        </is>
      </c>
      <c r="C1120" s="16" t="inlineStr">
        <is>
          <t>無料イベントは無料</t>
        </is>
      </c>
      <c r="D1120" s="13" t="inlineStr">
        <is>
          <t>△</t>
        </is>
      </c>
      <c r="E1120" s="16" t="inlineStr">
        <is>
          <t>公式</t>
        </is>
      </c>
      <c r="F1120" s="17" t="inlineStr">
        <is>
          <t>https://apps.apple.com/app/id1509667820</t>
        </is>
      </c>
      <c r="G1120" s="16" t="inlineStr">
        <is>
          <t>アプリは無料・アプリ内課金なしで『無料イベント』が中心。主催者の手数料・固定費の記述はなし。外部チケットへ誘導するイベントもある(二次: AOL 2024)。</t>
        </is>
      </c>
    </row>
    <row r="1121">
      <c r="A1121" s="16" t="inlineStr">
        <is>
          <t>Pie</t>
        </is>
      </c>
      <c r="B1121" s="16" t="inlineStr">
        <is>
          <t>AC02</t>
        </is>
      </c>
      <c r="C1121" s="16" t="inlineStr">
        <is>
          <t>手数料負担の選択</t>
        </is>
      </c>
      <c r="D1121" s="13" t="inlineStr">
        <is>
          <t>？</t>
        </is>
      </c>
      <c r="E1121" s="16" t="inlineStr">
        <is>
          <t>なし</t>
        </is>
      </c>
      <c r="F1121" s="16" t="inlineStr"/>
      <c r="G1121" s="16" t="inlineStr">
        <is>
          <t>手数料の負担者選択の記述なし。</t>
        </is>
      </c>
    </row>
    <row r="1122">
      <c r="A1122" s="16" t="inlineStr">
        <is>
          <t>Pie</t>
        </is>
      </c>
      <c r="B1122" s="16" t="inlineStr">
        <is>
          <t>AC03</t>
        </is>
      </c>
      <c r="C1122" s="16" t="inlineStr">
        <is>
          <t>参加者データの所有・出力</t>
        </is>
      </c>
      <c r="D1122" s="13" t="inlineStr">
        <is>
          <t>？</t>
        </is>
      </c>
      <c r="E1122" s="16" t="inlineStr">
        <is>
          <t>なし</t>
        </is>
      </c>
      <c r="F1122" s="16" t="inlineStr"/>
      <c r="G1122" s="16" t="inlineStr">
        <is>
          <t>参加者データの所有・出力の記述なし。</t>
        </is>
      </c>
    </row>
    <row r="1123">
      <c r="A1123" s="16" t="inlineStr">
        <is>
          <t>Pie</t>
        </is>
      </c>
      <c r="B1123" s="16" t="inlineStr">
        <is>
          <t>AC04</t>
        </is>
      </c>
      <c r="C1123" s="16" t="inlineStr">
        <is>
          <t>他サービスからの移行</t>
        </is>
      </c>
      <c r="D1123" s="13" t="inlineStr">
        <is>
          <t>？</t>
        </is>
      </c>
      <c r="E1123" s="16" t="inlineStr">
        <is>
          <t>なし</t>
        </is>
      </c>
      <c r="F1123" s="16" t="inlineStr"/>
      <c r="G1123" s="16" t="inlineStr">
        <is>
          <t>他サービスからの移行機能は確認できず(リンク取り込みはプラン作成のみ)。</t>
        </is>
      </c>
    </row>
    <row r="1124">
      <c r="A1124" s="16" t="inlineStr">
        <is>
          <t>Pie</t>
        </is>
      </c>
      <c r="B1124" s="16" t="inlineStr">
        <is>
          <t>AC05</t>
        </is>
      </c>
      <c r="C1124" s="16" t="inlineStr">
        <is>
          <t>主催者紹介・アンバサダー</t>
        </is>
      </c>
      <c r="D1124" s="13" t="inlineStr">
        <is>
          <t>△</t>
        </is>
      </c>
      <c r="E1124" s="16" t="inlineStr">
        <is>
          <t>二次</t>
        </is>
      </c>
      <c r="F1124" s="17" t="inlineStr">
        <is>
          <t>https://techcrunch.com/2024/11/19/irl-social-app-pie-is-coming-to-sf-to-make-you-less-lonely</t>
        </is>
      </c>
      <c r="G1124" s="16" t="inlineStr">
        <is>
          <t>二次: Creator Fund($1M、RSVP1件あたり$5〜10)とCreators Club(RSVP経由で新規アカウントを連れてきたホストに支払い)。公式の募集条件は確認できず。『Creator in Residence』は持分付与(二次: AOL 2024)。グロース根拠あり(約23,000人(2024-10)→13万MAU(2025-03)。既存ノートは相関のみとする)。</t>
        </is>
      </c>
    </row>
    <row r="1125">
      <c r="A1125" s="16" t="inlineStr">
        <is>
          <t>Pie</t>
        </is>
      </c>
      <c r="B1125" s="16" t="inlineStr">
        <is>
          <t>AC06</t>
        </is>
      </c>
      <c r="C1125" s="16" t="inlineStr">
        <is>
          <t>主催者向け教育・テンプレ</t>
        </is>
      </c>
      <c r="D1125" s="13" t="inlineStr">
        <is>
          <t>？</t>
        </is>
      </c>
      <c r="E1125" s="16" t="inlineStr">
        <is>
          <t>なし</t>
        </is>
      </c>
      <c r="F1125" s="16" t="inlineStr"/>
      <c r="G1125" s="16" t="inlineStr">
        <is>
          <t>主催者向け教育・テンプレートの記述なし。</t>
        </is>
      </c>
    </row>
    <row r="1126">
      <c r="A1126" s="16" t="inlineStr">
        <is>
          <t>Pie</t>
        </is>
      </c>
      <c r="B1126" s="16" t="inlineStr">
        <is>
          <t>AC07</t>
        </is>
      </c>
      <c r="C1126" s="16" t="inlineStr">
        <is>
          <t>集客支援の商品</t>
        </is>
      </c>
      <c r="D1126" s="13" t="inlineStr">
        <is>
          <t>？</t>
        </is>
      </c>
      <c r="E1126" s="16" t="inlineStr">
        <is>
          <t>なし</t>
        </is>
      </c>
      <c r="F1126" s="16" t="inlineStr"/>
      <c r="G1126" s="16" t="inlineStr">
        <is>
          <t>有料の集客支援商品は確認できず(Creator Fundは運営が主催者に支払う側)。</t>
        </is>
      </c>
    </row>
    <row r="1127">
      <c r="A1127" s="16" t="inlineStr">
        <is>
          <t>Pie</t>
        </is>
      </c>
      <c r="B1127" s="16" t="inlineStr">
        <is>
          <t>AC08</t>
        </is>
      </c>
      <c r="C1127" s="16" t="inlineStr">
        <is>
          <t>運営主催・公式イベント</t>
        </is>
      </c>
      <c r="D1127" s="13" t="inlineStr">
        <is>
          <t>△</t>
        </is>
      </c>
      <c r="E1127" s="16" t="inlineStr">
        <is>
          <t>二次</t>
        </is>
      </c>
      <c r="F1127" s="17" t="inlineStr">
        <is>
          <t>https://techcrunch.com/2025/03/04/andy-dunns-new-app-pie-uses-ai-to-help-you-make-friends</t>
        </is>
      </c>
      <c r="G1127" s="16" t="inlineStr">
        <is>
          <t>二次: Pieは自らイベントを主催しないと報じられた(AOL 2024)一方、2025年にはPie運営のマッチング付き会『Sparked by Pie』(Coffee with Strangers等)が登場(TechCrunch 2025-03)。</t>
        </is>
      </c>
    </row>
    <row r="1128">
      <c r="A1128" s="16" t="inlineStr">
        <is>
          <t>Pie</t>
        </is>
      </c>
      <c r="B1128" s="16" t="inlineStr">
        <is>
          <t>CR01</t>
        </is>
      </c>
      <c r="C1128" s="16" t="inlineStr">
        <is>
          <t>ダイジェスト・おすすめ通知</t>
        </is>
      </c>
      <c r="D1128" s="13" t="inlineStr">
        <is>
          <t>？</t>
        </is>
      </c>
      <c r="E1128" s="16" t="inlineStr">
        <is>
          <t>なし</t>
        </is>
      </c>
      <c r="F1128" s="16" t="inlineStr"/>
      <c r="G1128" s="16" t="inlineStr">
        <is>
          <t>ダイジェスト・おすすめ通知の記述なし。</t>
        </is>
      </c>
    </row>
    <row r="1129">
      <c r="A1129" s="16" t="inlineStr">
        <is>
          <t>Pie</t>
        </is>
      </c>
      <c r="B1129" s="16" t="inlineStr">
        <is>
          <t>CR02</t>
        </is>
      </c>
      <c r="C1129" s="16" t="inlineStr">
        <is>
          <t>自動メンバー化</t>
        </is>
      </c>
      <c r="D1129" s="13" t="inlineStr">
        <is>
          <t>？</t>
        </is>
      </c>
      <c r="E1129" s="16" t="inlineStr">
        <is>
          <t>なし</t>
        </is>
      </c>
      <c r="F1129" s="16" t="inlineStr"/>
      <c r="G1129" s="16" t="inlineStr">
        <is>
          <t>自動メンバー化の記述なし。Community Homesはグループが参加者を束ねる場だが自動参加は未確認。</t>
        </is>
      </c>
    </row>
    <row r="1130">
      <c r="A1130" s="16" t="inlineStr">
        <is>
          <t>Pie</t>
        </is>
      </c>
      <c r="B1130" s="16" t="inlineStr">
        <is>
          <t>CR03</t>
        </is>
      </c>
      <c r="C1130" s="16" t="inlineStr">
        <is>
          <t>前回参加者への優先案内</t>
        </is>
      </c>
      <c r="D1130" s="13" t="inlineStr">
        <is>
          <t>？</t>
        </is>
      </c>
      <c r="E1130" s="16" t="inlineStr">
        <is>
          <t>なし</t>
        </is>
      </c>
      <c r="F1130" s="16" t="inlineStr"/>
      <c r="G1130" s="16" t="inlineStr">
        <is>
          <t>前回参加者への優先案内の記述なし。</t>
        </is>
      </c>
    </row>
    <row r="1131">
      <c r="A1131" s="16" t="inlineStr">
        <is>
          <t>Pie</t>
        </is>
      </c>
      <c r="B1131" s="16" t="inlineStr">
        <is>
          <t>CR04</t>
        </is>
      </c>
      <c r="C1131" s="16" t="inlineStr">
        <is>
          <t>主催者CRM・購読者リスト</t>
        </is>
      </c>
      <c r="D1131" s="13" t="inlineStr">
        <is>
          <t>？</t>
        </is>
      </c>
      <c r="E1131" s="16" t="inlineStr">
        <is>
          <t>なし</t>
        </is>
      </c>
      <c r="F1131" s="16" t="inlineStr"/>
      <c r="G1131" s="16" t="inlineStr">
        <is>
          <t>主催者CRM・購読者リストの記述なし。</t>
        </is>
      </c>
    </row>
    <row r="1132">
      <c r="A1132" s="16" t="inlineStr">
        <is>
          <t>Pie</t>
        </is>
      </c>
      <c r="B1132" s="16" t="inlineStr">
        <is>
          <t>CR05</t>
        </is>
      </c>
      <c r="C1132" s="16" t="inlineStr">
        <is>
          <t>参加履歴・バッジ・実績</t>
        </is>
      </c>
      <c r="D1132" s="13" t="inlineStr">
        <is>
          <t>？</t>
        </is>
      </c>
      <c r="E1132" s="16" t="inlineStr">
        <is>
          <t>なし</t>
        </is>
      </c>
      <c r="F1132" s="16" t="inlineStr"/>
      <c r="G1132" s="16" t="inlineStr">
        <is>
          <t>参加履歴・バッジ・実績の記述なし(お気に入りの興味で公開プロフィールを作れる: TechCrunch 2026-08)。</t>
        </is>
      </c>
    </row>
    <row r="1133">
      <c r="A1133" s="16" t="inlineStr">
        <is>
          <t>Pie</t>
        </is>
      </c>
      <c r="B1133" s="16" t="inlineStr">
        <is>
          <t>CR06</t>
        </is>
      </c>
      <c r="C1133" s="16" t="inlineStr">
        <is>
          <t>レビュー・評価</t>
        </is>
      </c>
      <c r="D1133" s="13" t="inlineStr">
        <is>
          <t>？</t>
        </is>
      </c>
      <c r="E1133" s="16" t="inlineStr">
        <is>
          <t>なし</t>
        </is>
      </c>
      <c r="F1133" s="16" t="inlineStr"/>
      <c r="G1133" s="16" t="inlineStr">
        <is>
          <t>レビュー・評価の記述なし。</t>
        </is>
      </c>
    </row>
    <row r="1134">
      <c r="A1134" s="16" t="inlineStr">
        <is>
          <t>Pie</t>
        </is>
      </c>
      <c r="B1134" s="16" t="inlineStr">
        <is>
          <t>CR07</t>
        </is>
      </c>
      <c r="C1134" s="16" t="inlineStr">
        <is>
          <t>グループチャット・掲示板</t>
        </is>
      </c>
      <c r="D1134" s="13" t="inlineStr">
        <is>
          <t>✅</t>
        </is>
      </c>
      <c r="E1134" s="16" t="inlineStr">
        <is>
          <t>公式</t>
        </is>
      </c>
      <c r="F1134" s="17" t="inlineStr">
        <is>
          <t>https://apps.apple.com/app/id1509667820</t>
        </is>
      </c>
      <c r="G1134" s="16" t="inlineStr">
        <is>
          <t>アプリ内チャット(写真・予定の相談)、Plansで他の参加者へメッセージ(二次: AOL 2024)。アンケートによる卓編成: 『Sparked by Pie』ではRSVP時に1〜5段階のクイズに答え、6人グループに分けてグループチャットを開設(二次: TechCrunch 2025-03)。Community Homesのグループチャットは『近日』。グロース根拠あり(AIクイズが成長要因として既存ノートに記載)。</t>
        </is>
      </c>
    </row>
    <row r="1135">
      <c r="A1135" s="16" t="inlineStr">
        <is>
          <t>Pie</t>
        </is>
      </c>
      <c r="B1135" s="16" t="inlineStr">
        <is>
          <t>CR08</t>
        </is>
      </c>
      <c r="C1135" s="16" t="inlineStr">
        <is>
          <t>年間まとめ・振り返り共有</t>
        </is>
      </c>
      <c r="D1135" s="13" t="inlineStr">
        <is>
          <t>？</t>
        </is>
      </c>
      <c r="E1135" s="16" t="inlineStr">
        <is>
          <t>なし</t>
        </is>
      </c>
      <c r="F1135" s="16" t="inlineStr"/>
      <c r="G1135" s="16" t="inlineStr">
        <is>
          <t>年間振り返りの記述なし(Instagram Stories共有はあるが振り返り機能は未確認)。</t>
        </is>
      </c>
    </row>
    <row r="1136">
      <c r="A1136" s="16" t="inlineStr">
        <is>
          <t>Pie</t>
        </is>
      </c>
      <c r="B1136" s="16" t="inlineStr">
        <is>
          <t>TS01</t>
        </is>
      </c>
      <c r="C1136" s="16" t="inlineStr">
        <is>
          <t>本人確認・認証</t>
        </is>
      </c>
      <c r="D1136" s="13" t="inlineStr">
        <is>
          <t>△</t>
        </is>
      </c>
      <c r="E1136" s="16" t="inlineStr">
        <is>
          <t>二次</t>
        </is>
      </c>
      <c r="F1136" s="17" t="inlineStr">
        <is>
          <t>https://www.aol.com/news/tried-pie-social-million-dollar-130801270.html</t>
        </is>
      </c>
      <c r="G1136" s="16" t="inlineStr">
        <is>
          <t>二次: 電話番号でサインアップ(Business Insider 2024-11)。ID・実名確認は確認できず。</t>
        </is>
      </c>
    </row>
    <row r="1137">
      <c r="A1137" s="16" t="inlineStr">
        <is>
          <t>Pie</t>
        </is>
      </c>
      <c r="B1137" s="16" t="inlineStr">
        <is>
          <t>TS02</t>
        </is>
      </c>
      <c r="C1137" s="16" t="inlineStr">
        <is>
          <t>主催者の審査・認定</t>
        </is>
      </c>
      <c r="D1137" s="13" t="inlineStr">
        <is>
          <t>？</t>
        </is>
      </c>
      <c r="E1137" s="16" t="inlineStr">
        <is>
          <t>なし</t>
        </is>
      </c>
      <c r="F1137" s="16" t="inlineStr"/>
      <c r="G1137" s="16" t="inlineStr">
        <is>
          <t>主催者の審査・認定の記述なし(Creator Fundは申請制だが審査基準は未確認)。</t>
        </is>
      </c>
    </row>
    <row r="1138">
      <c r="A1138" s="16" t="inlineStr">
        <is>
          <t>Pie</t>
        </is>
      </c>
      <c r="B1138" s="16" t="inlineStr">
        <is>
          <t>TS03</t>
        </is>
      </c>
      <c r="C1138" s="16" t="inlineStr">
        <is>
          <t>通報・ブロック・モデレーション</t>
        </is>
      </c>
      <c r="D1138" s="13" t="inlineStr">
        <is>
          <t>？</t>
        </is>
      </c>
      <c r="E1138" s="16" t="inlineStr">
        <is>
          <t>なし</t>
        </is>
      </c>
      <c r="F1138" s="16" t="inlineStr"/>
      <c r="G1138" s="16" t="inlineStr">
        <is>
          <t>通報・ブロック・モデレーションの記述は取得した範囲に無し(App Store: 18+、メッセージ・ユーザー投稿コンテンツを含む)。</t>
        </is>
      </c>
    </row>
    <row r="1139">
      <c r="A1139" s="16" t="inlineStr">
        <is>
          <t>Pie</t>
        </is>
      </c>
      <c r="B1139" s="16" t="inlineStr">
        <is>
          <t>TS04</t>
        </is>
      </c>
      <c r="C1139" s="16" t="inlineStr">
        <is>
          <t>ドタキャン対策</t>
        </is>
      </c>
      <c r="D1139" s="13" t="inlineStr">
        <is>
          <t>？</t>
        </is>
      </c>
      <c r="E1139" s="16" t="inlineStr">
        <is>
          <t>なし</t>
        </is>
      </c>
      <c r="F1139" s="16" t="inlineStr"/>
      <c r="G1139" s="16" t="inlineStr">
        <is>
          <t>ドタキャン対策の記述なし(無料イベントが中心で前払い・欠席料は未確認)。</t>
        </is>
      </c>
    </row>
    <row r="1140">
      <c r="A1140" s="16" t="inlineStr">
        <is>
          <t>Pie</t>
        </is>
      </c>
      <c r="B1140" s="16" t="inlineStr">
        <is>
          <t>TS05</t>
        </is>
      </c>
      <c r="C1140" s="16" t="inlineStr">
        <is>
          <t>参加者情報の保護</t>
        </is>
      </c>
      <c r="D1140" s="13" t="inlineStr">
        <is>
          <t>△</t>
        </is>
      </c>
      <c r="E1140" s="16" t="inlineStr">
        <is>
          <t>二次</t>
        </is>
      </c>
      <c r="F1140" s="17" t="inlineStr">
        <is>
          <t>https://techcrunch.com/2024/11/19/irl-social-app-pie-is-coming-to-sf-to-make-you-less-lonely</t>
        </is>
      </c>
      <c r="G1140" s="16" t="inlineStr">
        <is>
          <t>二次: 全イベントが公開ではなく、非公開イベントで場所を限定できる(安全面のレイヤーとして創業者が説明)。参加者情報のぼかし表示等は確認できず。</t>
        </is>
      </c>
    </row>
    <row r="1141">
      <c r="A1141" s="16" t="inlineStr">
        <is>
          <t>Pie</t>
        </is>
      </c>
      <c r="B1141" s="16" t="inlineStr">
        <is>
          <t>TS06</t>
        </is>
      </c>
      <c r="C1141" s="16" t="inlineStr">
        <is>
          <t>直接取引の抑止</t>
        </is>
      </c>
      <c r="D1141" s="13" t="inlineStr">
        <is>
          <t>？</t>
        </is>
      </c>
      <c r="E1141" s="16" t="inlineStr">
        <is>
          <t>なし</t>
        </is>
      </c>
      <c r="F1141" s="16" t="inlineStr"/>
      <c r="G1141" s="16" t="inlineStr">
        <is>
          <t>直接取引の抑止の記述なし。</t>
        </is>
      </c>
    </row>
    <row r="1142">
      <c r="A1142" s="16" t="inlineStr">
        <is>
          <t>Pie</t>
        </is>
      </c>
      <c r="B1142" s="16" t="inlineStr">
        <is>
          <t>FD01</t>
        </is>
      </c>
      <c r="C1142" s="16" t="inlineStr">
        <is>
          <t>メニューの事前注文・選択</t>
        </is>
      </c>
      <c r="D1142" s="13" t="inlineStr">
        <is>
          <t>？</t>
        </is>
      </c>
      <c r="E1142" s="16" t="inlineStr">
        <is>
          <t>なし</t>
        </is>
      </c>
      <c r="F1142" s="16" t="inlineStr"/>
      <c r="G1142" s="16" t="inlineStr">
        <is>
          <t>食事特化機能の記述なし(無料の汎用IRLイベントアプリ。Community Homes も食に特化しない: 既存ノート)。</t>
        </is>
      </c>
    </row>
    <row r="1143">
      <c r="A1143" s="16" t="inlineStr">
        <is>
          <t>Pie</t>
        </is>
      </c>
      <c r="B1143" s="16" t="inlineStr">
        <is>
          <t>FD02</t>
        </is>
      </c>
      <c r="C1143" s="16" t="inlineStr">
        <is>
          <t>アレルギー・食の好みの登録</t>
        </is>
      </c>
      <c r="D1143" s="13" t="inlineStr">
        <is>
          <t>？</t>
        </is>
      </c>
      <c r="E1143" s="16" t="inlineStr">
        <is>
          <t>なし</t>
        </is>
      </c>
      <c r="F1143" s="16" t="inlineStr"/>
      <c r="G1143" s="16" t="inlineStr">
        <is>
          <t>食事特化機能の記述なし(無料の汎用IRLイベントアプリ。Community Homes も食に特化しない: 既存ノート)。</t>
        </is>
      </c>
    </row>
    <row r="1144">
      <c r="A1144" s="16" t="inlineStr">
        <is>
          <t>Pie</t>
        </is>
      </c>
      <c r="B1144" s="16" t="inlineStr">
        <is>
          <t>FD03</t>
        </is>
      </c>
      <c r="C1144" s="16" t="inlineStr">
        <is>
          <t>店舗向け管理画面</t>
        </is>
      </c>
      <c r="D1144" s="13" t="inlineStr">
        <is>
          <t>？</t>
        </is>
      </c>
      <c r="E1144" s="16" t="inlineStr">
        <is>
          <t>なし</t>
        </is>
      </c>
      <c r="F1144" s="16" t="inlineStr"/>
      <c r="G1144" s="16" t="inlineStr">
        <is>
          <t>食事特化機能の記述なし(無料の汎用IRLイベントアプリ。Community Homes も食に特化しない: 既存ノート)。</t>
        </is>
      </c>
    </row>
    <row r="1145">
      <c r="A1145" s="16" t="inlineStr">
        <is>
          <t>Pie</t>
        </is>
      </c>
      <c r="B1145" s="16" t="inlineStr">
        <is>
          <t>FD04</t>
        </is>
      </c>
      <c r="C1145" s="16" t="inlineStr">
        <is>
          <t>人数確定の店舗通知・集計</t>
        </is>
      </c>
      <c r="D1145" s="13" t="inlineStr">
        <is>
          <t>？</t>
        </is>
      </c>
      <c r="E1145" s="16" t="inlineStr">
        <is>
          <t>なし</t>
        </is>
      </c>
      <c r="F1145" s="16" t="inlineStr"/>
      <c r="G1145" s="16" t="inlineStr">
        <is>
          <t>食事特化機能の記述なし(無料の汎用IRLイベントアプリ。Community Homes も食に特化しない: 既存ノート)。</t>
        </is>
      </c>
    </row>
    <row r="1146">
      <c r="A1146" s="16" t="inlineStr">
        <is>
          <t>Pie</t>
        </is>
      </c>
      <c r="B1146" s="16" t="inlineStr">
        <is>
          <t>FD05</t>
        </is>
      </c>
      <c r="C1146" s="16" t="inlineStr">
        <is>
          <t>席の確保・貸切の連携</t>
        </is>
      </c>
      <c r="D1146" s="13" t="inlineStr">
        <is>
          <t>？</t>
        </is>
      </c>
      <c r="E1146" s="16" t="inlineStr">
        <is>
          <t>なし</t>
        </is>
      </c>
      <c r="F1146" s="16" t="inlineStr"/>
      <c r="G1146" s="16" t="inlineStr">
        <is>
          <t>食事特化機能の記述なし(無料の汎用IRLイベントアプリ。Community Homes も食に特化しない: 既存ノート)。席・貸切の確保は確認できず。</t>
        </is>
      </c>
    </row>
    <row r="1147">
      <c r="A1147" s="16" t="inlineStr">
        <is>
          <t>Pie</t>
        </is>
      </c>
      <c r="B1147" s="16" t="inlineStr">
        <is>
          <t>FD06</t>
        </is>
      </c>
      <c r="C1147" s="16" t="inlineStr">
        <is>
          <t>コース・固定メニュー</t>
        </is>
      </c>
      <c r="D1147" s="13" t="inlineStr">
        <is>
          <t>？</t>
        </is>
      </c>
      <c r="E1147" s="16" t="inlineStr">
        <is>
          <t>なし</t>
        </is>
      </c>
      <c r="F1147" s="16" t="inlineStr"/>
      <c r="G1147" s="16" t="inlineStr">
        <is>
          <t>食事特化機能の記述なし(無料の汎用IRLイベントアプリ。Community Homes も食に特化しない: 既存ノート)。</t>
        </is>
      </c>
    </row>
    <row r="1148">
      <c r="A1148" s="16" t="inlineStr">
        <is>
          <t>Pie</t>
        </is>
      </c>
      <c r="B1148" s="16" t="inlineStr">
        <is>
          <t>FD07</t>
        </is>
      </c>
      <c r="C1148" s="16" t="inlineStr">
        <is>
          <t>割り勘・個別会計</t>
        </is>
      </c>
      <c r="D1148" s="13" t="inlineStr">
        <is>
          <t>？</t>
        </is>
      </c>
      <c r="E1148" s="16" t="inlineStr">
        <is>
          <t>なし</t>
        </is>
      </c>
      <c r="F1148" s="16" t="inlineStr"/>
      <c r="G1148" s="16" t="inlineStr">
        <is>
          <t>食事特化機能の記述なし(無料の汎用IRLイベントアプリ。Community Homes も食に特化しない: 既存ノート)。</t>
        </is>
      </c>
    </row>
    <row r="1149">
      <c r="A1149" s="16" t="inlineStr">
        <is>
          <t>Pie</t>
        </is>
      </c>
      <c r="B1149" s="16" t="inlineStr">
        <is>
          <t>FD08</t>
        </is>
      </c>
      <c r="C1149" s="16" t="inlineStr">
        <is>
          <t>店探し・店選び支援</t>
        </is>
      </c>
      <c r="D1149" s="13" t="inlineStr">
        <is>
          <t>？</t>
        </is>
      </c>
      <c r="E1149" s="16" t="inlineStr">
        <is>
          <t>なし</t>
        </is>
      </c>
      <c r="F1149" s="16" t="inlineStr"/>
      <c r="G1149" s="16" t="inlineStr">
        <is>
          <t>食事特化機能の記述なし(無料の汎用IRLイベントアプリ。Community Homes も食に特化しない: 既存ノート)。ディナー等のグループ会は『Sparked by Pie』で扱う(二次)が、店探し支援は確認できず。</t>
        </is>
      </c>
    </row>
    <row r="1150">
      <c r="A1150" s="16" t="inlineStr">
        <is>
          <t>Pie</t>
        </is>
      </c>
      <c r="B1150" s="16" t="inlineStr">
        <is>
          <t>FD09</t>
        </is>
      </c>
      <c r="C1150" s="16" t="inlineStr">
        <is>
          <t>売り切れ・限定数の管理</t>
        </is>
      </c>
      <c r="D1150" s="13" t="inlineStr">
        <is>
          <t>△</t>
        </is>
      </c>
      <c r="E1150" s="16" t="inlineStr">
        <is>
          <t>二次</t>
        </is>
      </c>
      <c r="F1150" s="17" t="inlineStr">
        <is>
          <t>https://www.aol.com/news/tried-pie-social-million-dollar-130801270.html</t>
        </is>
      </c>
      <c r="G1150" s="16" t="inlineStr">
        <is>
          <t>二次: 一部イベントは参加枠に限りがある(Business Insider 2024-11)。売り切れ・最大数を管理する機能の詳細は確認できず。</t>
        </is>
      </c>
    </row>
    <row r="1151">
      <c r="A1151" s="16" t="inlineStr">
        <is>
          <t>Pie</t>
        </is>
      </c>
      <c r="B1151" s="16" t="inlineStr">
        <is>
          <t>FD10</t>
        </is>
      </c>
      <c r="C1151" s="16" t="inlineStr">
        <is>
          <t>提供形態の選択</t>
        </is>
      </c>
      <c r="D1151" s="13" t="inlineStr">
        <is>
          <t>？</t>
        </is>
      </c>
      <c r="E1151" s="16" t="inlineStr">
        <is>
          <t>なし</t>
        </is>
      </c>
      <c r="F1151" s="16" t="inlineStr"/>
      <c r="G1151" s="16" t="inlineStr">
        <is>
          <t>食事特化機能の記述なし(無料の汎用IRLイベントアプリ。Community Homes も食に特化しない: 既存ノート)。</t>
        </is>
      </c>
    </row>
    <row r="1152">
      <c r="A1152" s="16" t="inlineStr">
        <is>
          <t>Pie</t>
        </is>
      </c>
      <c r="B1152" s="16" t="inlineStr">
        <is>
          <t>MN01</t>
        </is>
      </c>
      <c r="C1152" s="16" t="inlineStr">
        <is>
          <t>手数料の明示</t>
        </is>
      </c>
      <c r="D1152" s="13" t="inlineStr">
        <is>
          <t>？</t>
        </is>
      </c>
      <c r="E1152" s="16" t="inlineStr">
        <is>
          <t>なし</t>
        </is>
      </c>
      <c r="F1152" s="16" t="inlineStr"/>
      <c r="G1152" s="16" t="inlineStr">
        <is>
          <t>アプリは無料・アプリ内課金なし。手数料・料率の公開は確認できず。</t>
        </is>
      </c>
    </row>
    <row r="1153">
      <c r="A1153" s="16" t="inlineStr">
        <is>
          <t>Pie</t>
        </is>
      </c>
      <c r="B1153" s="16" t="inlineStr">
        <is>
          <t>MN02</t>
        </is>
      </c>
      <c r="C1153" s="16" t="inlineStr">
        <is>
          <t>主催者向け有料プラン</t>
        </is>
      </c>
      <c r="D1153" s="13" t="inlineStr">
        <is>
          <t>？</t>
        </is>
      </c>
      <c r="E1153" s="16" t="inlineStr">
        <is>
          <t>なし</t>
        </is>
      </c>
      <c r="F1153" s="16" t="inlineStr"/>
      <c r="G1153" s="16" t="inlineStr">
        <is>
          <t>主催者向け有料プランの記述なし。</t>
        </is>
      </c>
    </row>
    <row r="1154">
      <c r="A1154" s="16" t="inlineStr">
        <is>
          <t>Pie</t>
        </is>
      </c>
      <c r="B1154" s="16" t="inlineStr">
        <is>
          <t>MN03</t>
        </is>
      </c>
      <c r="C1154" s="16" t="inlineStr">
        <is>
          <t>任意チップ・寄付</t>
        </is>
      </c>
      <c r="D1154" s="13" t="inlineStr">
        <is>
          <t>？</t>
        </is>
      </c>
      <c r="E1154" s="16" t="inlineStr">
        <is>
          <t>なし</t>
        </is>
      </c>
      <c r="F1154" s="16" t="inlineStr"/>
      <c r="G1154" s="16" t="inlineStr">
        <is>
          <t>任意のチップ・寄付の記述なし。</t>
        </is>
      </c>
    </row>
    <row r="1155">
      <c r="A1155" s="16" t="inlineStr">
        <is>
          <t>Pie</t>
        </is>
      </c>
      <c r="B1155" s="16" t="inlineStr">
        <is>
          <t>MN04</t>
        </is>
      </c>
      <c r="C1155" s="16" t="inlineStr">
        <is>
          <t>クーポン・割引コード</t>
        </is>
      </c>
      <c r="D1155" s="13" t="inlineStr">
        <is>
          <t>？</t>
        </is>
      </c>
      <c r="E1155" s="16" t="inlineStr">
        <is>
          <t>なし</t>
        </is>
      </c>
      <c r="F1155" s="16" t="inlineStr"/>
      <c r="G1155" s="16" t="inlineStr">
        <is>
          <t>クーポン・割引コードの記述なし(無料イベントが中心)。</t>
        </is>
      </c>
    </row>
    <row r="1156">
      <c r="A1156" s="16" t="inlineStr">
        <is>
          <t>Pie</t>
        </is>
      </c>
      <c r="B1156" s="16" t="inlineStr">
        <is>
          <t>MN05</t>
        </is>
      </c>
      <c r="C1156" s="16" t="inlineStr">
        <is>
          <t>ポイント・会員特典</t>
        </is>
      </c>
      <c r="D1156" s="13" t="inlineStr">
        <is>
          <t>？</t>
        </is>
      </c>
      <c r="E1156" s="16" t="inlineStr">
        <is>
          <t>なし</t>
        </is>
      </c>
      <c r="F1156" s="16" t="inlineStr"/>
      <c r="G1156" s="16" t="inlineStr">
        <is>
          <t>ポイント・会員特典の記述なし。</t>
        </is>
      </c>
    </row>
    <row r="1157">
      <c r="A1157" s="16" t="inlineStr">
        <is>
          <t>自社</t>
        </is>
      </c>
      <c r="B1157" s="16" t="inlineStr">
        <is>
          <t>DS01</t>
        </is>
      </c>
      <c r="C1157" s="16" t="inlineStr">
        <is>
          <t>キーワード・カテゴリ検索</t>
        </is>
      </c>
      <c r="D1157" s="13" t="inlineStr">
        <is>
          <t>△</t>
        </is>
      </c>
      <c r="E1157" s="16" t="inlineStr">
        <is>
          <t>公式</t>
        </is>
      </c>
      <c r="F1157" s="16" t="inlineStr">
        <is>
          <t>documents/03_参加者獲得/05_イベントタグ機能.md</t>
        </is>
      </c>
      <c r="G1157" s="16" t="inlineStr">
        <is>
          <t>未実装(コード確認: 検索欄・カテゴリ絞り込みなし。トップ user/src/pages/index.vue は人気/開催予定/終了の一覧のみ)。計画: イベントタグ(主催者が付けるカテゴリ)の仕様書あり・未実装(05_イベントタグ機能.md)。検索の仕様書 03_参加者獲得/06_イベント検索(タグ・日付・場所) は見出しのみで仕様未記述。文書のみ</t>
        </is>
      </c>
    </row>
    <row r="1158">
      <c r="A1158" s="16" t="inlineStr">
        <is>
          <t>自社</t>
        </is>
      </c>
      <c r="B1158" s="16" t="inlineStr">
        <is>
          <t>DS02</t>
        </is>
      </c>
      <c r="C1158" s="16" t="inlineStr">
        <is>
          <t>地域・地図検索</t>
        </is>
      </c>
      <c r="D1158" s="13" t="inlineStr">
        <is>
          <t>❌</t>
        </is>
      </c>
      <c r="E1158" s="16" t="inlineStr">
        <is>
          <t>実機</t>
        </is>
      </c>
      <c r="F1158" s="16" t="inlineStr">
        <is>
          <t>user/src/pages/index.vue</t>
        </is>
      </c>
      <c r="G1158" s="16" t="inlineStr">
        <is>
          <t>コード確認(不在): 都市・駅・現在地・地図での絞り込みなし。地図はイベント詳細のGoogleマップ検索リンクのみ(base/src/components/EventDetailsCard.vue)。仕様書 06_イベント検索(場所検索)は見出しのみ。施策案: 13_成長・露出 D2-5 エリアハブ(Tier5)。主催者側の郵便番号→配達可能店舗検索は別機能(FD08)</t>
        </is>
      </c>
    </row>
    <row r="1159">
      <c r="A1159" s="16" t="inlineStr">
        <is>
          <t>自社</t>
        </is>
      </c>
      <c r="B1159" s="16" t="inlineStr">
        <is>
          <t>DS03</t>
        </is>
      </c>
      <c r="C1159" s="16" t="inlineStr">
        <is>
          <t>日付・価格等の絞り込み</t>
        </is>
      </c>
      <c r="D1159" s="13" t="inlineStr">
        <is>
          <t>❌</t>
        </is>
      </c>
      <c r="E1159" s="16" t="inlineStr">
        <is>
          <t>実機</t>
        </is>
      </c>
      <c r="F1159" s="16" t="inlineStr">
        <is>
          <t>user/src/pages/index.vue</t>
        </is>
      </c>
      <c r="G1159" s="16" t="inlineStr">
        <is>
          <t>コード確認(不在): 日付・曜日・価格帯などの絞り込み UI なし(開催予定は開催日時の昇順/終了は降順で並ぶだけ)。仕様書 06_イベント検索(日付検索)は見出しのみ。施策案: 13_成長・露出 D4-1(今週開催・満席間近の面を追加, Tier4)</t>
        </is>
      </c>
    </row>
    <row r="1160">
      <c r="A1160" s="16" t="inlineStr">
        <is>
          <t>自社</t>
        </is>
      </c>
      <c r="B1160" s="16" t="inlineStr">
        <is>
          <t>DS04</t>
        </is>
      </c>
      <c r="C1160" s="16" t="inlineStr">
        <is>
          <t>パーソナライズ推薦</t>
        </is>
      </c>
      <c r="D1160" s="13" t="inlineStr">
        <is>
          <t>△</t>
        </is>
      </c>
      <c r="E1160" s="16" t="inlineStr">
        <is>
          <t>公式</t>
        </is>
      </c>
      <c r="F1160" s="16" t="inlineStr">
        <is>
          <t>documents/13_成長・露出/01_露出獲得施策.md</t>
        </is>
      </c>
      <c r="G1160" s="16" t="inlineStr">
        <is>
          <t>未実装(コード確認)。トップの『人気のイベント』は参加人数順で全員同一(パーソナライズなし)。プロフィールタグ(興味)は実装済みだが推薦には未使用。計画: Issue #966「気になるカテゴリ」(カテゴリ登録→公開/締切を通知。マイルストーンなし)、13_成長・露出 D4-3 related events(施策案 Tier3)。文書のみ</t>
        </is>
      </c>
    </row>
    <row r="1161">
      <c r="A1161" s="16" t="inlineStr">
        <is>
          <t>自社</t>
        </is>
      </c>
      <c r="B1161" s="16" t="inlineStr">
        <is>
          <t>DS05</t>
        </is>
      </c>
      <c r="C1161" s="16" t="inlineStr">
        <is>
          <t>フォロー</t>
        </is>
      </c>
      <c r="D1161" s="13" t="inlineStr">
        <is>
          <t>✅</t>
        </is>
      </c>
      <c r="E1161" s="16" t="inlineStr">
        <is>
          <t>実機</t>
        </is>
      </c>
      <c r="F1161" s="16" t="inlineStr">
        <is>
          <t>base/src/components/CommunityMembershipButton.vue</t>
        </is>
      </c>
      <c r="G1161" s="16" t="inlineStr">
        <is>
          <t>コード確認。フォロー相当=『コミュニティに参加する』(主催者/グループ単位)。参加すると開催予定イベントの通知を受け取れる。公開イベントは最初の注文時に新着メールをコミュニティ全メンバーへ送信(functions/default/src/orderCompletionMail.ts)。注文確定でも自動加入(CR02)。会場(店舗)のフォロー・非メンバーのフォロー通知は未実装(13_成長・露出 D4-4 施策案 Tier5)</t>
        </is>
      </c>
    </row>
    <row r="1162">
      <c r="A1162" s="16" t="inlineStr">
        <is>
          <t>自社</t>
        </is>
      </c>
      <c r="B1162" s="16" t="inlineStr">
        <is>
          <t>DS06</t>
        </is>
      </c>
      <c r="C1162" s="16" t="inlineStr">
        <is>
          <t>ブックマーク・ウィッシュリスト</t>
        </is>
      </c>
      <c r="D1162" s="13" t="inlineStr">
        <is>
          <t>△</t>
        </is>
      </c>
      <c r="E1162" s="16" t="inlineStr">
        <is>
          <t>公式</t>
        </is>
      </c>
      <c r="F1162" s="16" t="inlineStr">
        <is>
          <t>documents/03_参加者獲得/03_いいね機能.md</t>
        </is>
      </c>
      <c r="G1162" s="16" t="inlineStr">
        <is>
          <t>未実装(コード確認: お気に入り/いいね/ブックマークの実装なし)。計画: 仕様書『いいね(行くかも)』あり(イベントカード/ページのボタン・マイページ一覧・主催者への一覧表示・注文期限前アラートメール)。Issue #946 お気に入り機能(マイルストーン v2.16)、#1095〜#1102 いくかも関連。文書のみ</t>
        </is>
      </c>
    </row>
    <row r="1163">
      <c r="A1163" s="16" t="inlineStr">
        <is>
          <t>自社</t>
        </is>
      </c>
      <c r="B1163" s="16" t="inlineStr">
        <is>
          <t>DS07</t>
        </is>
      </c>
      <c r="C1163" s="16" t="inlineStr">
        <is>
          <t>公開ディレクトリ・都市×カテゴリページ</t>
        </is>
      </c>
      <c r="D1163" s="13" t="inlineStr">
        <is>
          <t>△</t>
        </is>
      </c>
      <c r="E1163" s="16" t="inlineStr">
        <is>
          <t>実機</t>
        </is>
      </c>
      <c r="F1163" s="16" t="inlineStr">
        <is>
          <t>user/src/pages/communitylist/index.vue</t>
        </is>
      </c>
      <c r="G1163" s="16" t="inlineStr">
        <is>
          <t>一部実装(コード確認): 公開コミュニティ一覧(/communitylist, SEO用プリレンダー handleCommunityListSeoRequest)・公開イベント一覧(トップ)・sitemap・JSON-LD・動的メタを実装済み(functions/default/src/seo/)。都市×カテゴリのハブページ(エリア別・ジャンル別)は未実装。計画: documents/12_SEO対策/01_SEO対策_タスク.md Phase 4(P4-1 エリア構造化・P4-4 ハブページ。親Issue #2195 はクローズ済みで Phase 4 は未Issue化)、13_成長・露出 D2-5(エリアハブ・L・Tier5)</t>
        </is>
      </c>
    </row>
    <row r="1164">
      <c r="A1164" s="16" t="inlineStr">
        <is>
          <t>自社</t>
        </is>
      </c>
      <c r="B1164" s="16" t="inlineStr">
        <is>
          <t>DS08</t>
        </is>
      </c>
      <c r="C1164" s="16" t="inlineStr">
        <is>
          <t>キュレーション・特集</t>
        </is>
      </c>
      <c r="D1164" s="13" t="inlineStr">
        <is>
          <t>✅</t>
        </is>
      </c>
      <c r="E1164" s="16" t="inlineStr">
        <is>
          <t>実機</t>
        </is>
      </c>
      <c r="F1164" s="16" t="inlineStr">
        <is>
          <t>user/src/pages/index.vue</t>
        </is>
      </c>
      <c r="G1164" s="16" t="inlineStr">
        <is>
          <t>コード確認: トップに『人気のイベント』(参加人数順)枠と、運営設定の広告バナー枠(top_banners/center_banners/event_banners, Firestore assets/*)がある。バナーの管理UIは確認できず(Firestore直接編集と推測)。特集ページ・編集型キュレーションは未実装</t>
        </is>
      </c>
    </row>
    <row r="1165">
      <c r="A1165" s="16" t="inlineStr">
        <is>
          <t>自社</t>
        </is>
      </c>
      <c r="B1165" s="16" t="inlineStr">
        <is>
          <t>JN01</t>
        </is>
      </c>
      <c r="C1165" s="16" t="inlineStr">
        <is>
          <t>アカウント不要の申込</t>
        </is>
      </c>
      <c r="D1165" s="13" t="inlineStr">
        <is>
          <t>❌</t>
        </is>
      </c>
      <c r="E1165" s="16" t="inlineStr">
        <is>
          <t>実機</t>
        </is>
      </c>
      <c r="F1165" s="16" t="inlineStr">
        <is>
          <t>user/src/pages/c/[communityAccount]/e/[eventId]/index.vue</t>
        </is>
      </c>
      <c r="G1165" s="16" t="inlineStr">
        <is>
          <t>コード確認: 注文(参加)にはログイン必須(未ログインでメニュー選択すると『ご注文にはログインが必要です』で登録/ログイン画面へ誘導)。閲覧は未ログインで可。エンプラのゲスト参加(Issue #2332, v2.18)もメールOTP/SNSログイン前提でアカウント不要ではない</t>
        </is>
      </c>
    </row>
    <row r="1166">
      <c r="A1166" s="16" t="inlineStr">
        <is>
          <t>自社</t>
        </is>
      </c>
      <c r="B1166" s="16" t="inlineStr">
        <is>
          <t>JN02</t>
        </is>
      </c>
      <c r="C1166" s="16" t="inlineStr">
        <is>
          <t>簡易ログイン</t>
        </is>
      </c>
      <c r="D1166" s="13" t="inlineStr">
        <is>
          <t>✅</t>
        </is>
      </c>
      <c r="E1166" s="16" t="inlineStr">
        <is>
          <t>実機</t>
        </is>
      </c>
      <c r="F1166" s="16" t="inlineStr">
        <is>
          <t>user/src/pages/login.vue</t>
        </is>
      </c>
      <c r="G1166" s="16" t="inlineStr">
        <is>
          <t>コード確認: Google/Facebook/X(Twitter)のSNSログイン+メールアドレス+6桁パスコード(メールOTP)ログイン。アプリ内ブラウザ向け案内あり(inapp-login.vue)。電話番号(SMS)ログインなし</t>
        </is>
      </c>
    </row>
    <row r="1167">
      <c r="A1167" s="16" t="inlineStr">
        <is>
          <t>自社</t>
        </is>
      </c>
      <c r="B1167" s="16" t="inlineStr">
        <is>
          <t>JN03</t>
        </is>
      </c>
      <c r="C1167" s="16" t="inlineStr">
        <is>
          <t>承認制・参加申請</t>
        </is>
      </c>
      <c r="D1167" s="13" t="inlineStr">
        <is>
          <t>△</t>
        </is>
      </c>
      <c r="E1167" s="16" t="inlineStr">
        <is>
          <t>公式</t>
        </is>
      </c>
      <c r="F1167" s="16" t="inlineStr">
        <is>
          <t>documents/08_エンタープライズ/10_仕様/04_詳細_イベント管理.md</t>
        </is>
      </c>
      <c r="G1167" s="16" t="inlineStr">
        <is>
          <t>未実装(コード確認: 注文確定で即参加。主催者が参加可否を承認する機能なし)。計画: コミュニティ参加の承認制(join_type)=Issue #2333(v2.16, 仕様 08_エンタープライズ/10_仕様/04_詳細_イベント管理.md §4)、イベント参加の承認/非承認=Issue #959(本文なし・マイルストーンなし)、参加拒否+返金=Issue #1838(v2.16)。文書のみ</t>
        </is>
      </c>
    </row>
    <row r="1168">
      <c r="A1168" s="16" t="inlineStr">
        <is>
          <t>自社</t>
        </is>
      </c>
      <c r="B1168" s="16" t="inlineStr">
        <is>
          <t>JN04</t>
        </is>
      </c>
      <c r="C1168" s="16" t="inlineStr">
        <is>
          <t>ウェイトリスト</t>
        </is>
      </c>
      <c r="D1168" s="13" t="inlineStr">
        <is>
          <t>❌</t>
        </is>
      </c>
      <c r="E1168" s="16" t="inlineStr">
        <is>
          <t>実機</t>
        </is>
      </c>
      <c r="F1168" s="16" t="inlineStr">
        <is>
          <t>documents/バックログ/キャンセル待ちの登録.md</t>
        </is>
      </c>
      <c r="G1168" s="16" t="inlineStr">
        <is>
          <t>コード確認(不在): 満席時はカート追加不可(『定員に達しました』)で待ち登録なし。バックログ『キャンセル待ちの登録』は見出しのみ。17_主催自動化 O-15(Waitlist自動繰り上げ・確度中)はブレストのみ。Issue なし</t>
        </is>
      </c>
    </row>
    <row r="1169">
      <c r="A1169" s="16" t="inlineStr">
        <is>
          <t>自社</t>
        </is>
      </c>
      <c r="B1169" s="16" t="inlineStr">
        <is>
          <t>JN05</t>
        </is>
      </c>
      <c r="C1169" s="16" t="inlineStr">
        <is>
          <t>定員・残席の表示</t>
        </is>
      </c>
      <c r="D1169" s="13" t="inlineStr">
        <is>
          <t>✅</t>
        </is>
      </c>
      <c r="E1169" s="16" t="inlineStr">
        <is>
          <t>実機</t>
        </is>
      </c>
      <c r="F1169" s="16" t="inlineStr">
        <is>
          <t>base/src/components/EventDetailsCard.vue</t>
        </is>
      </c>
      <c r="G1169" s="16" t="inlineStr">
        <is>
          <t>コード確認: イベントページに『参加 N / 定員』、イベントカードに【参加】N人/M人、定員到達で『満席』ステータス表示・注文不可。残席数そのものの表記はなし</t>
        </is>
      </c>
    </row>
    <row r="1170">
      <c r="A1170" s="16" t="inlineStr">
        <is>
          <t>自社</t>
        </is>
      </c>
      <c r="B1170" s="16" t="inlineStr">
        <is>
          <t>JN06</t>
        </is>
      </c>
      <c r="C1170" s="16" t="inlineStr">
        <is>
          <t>追加質問・同行者の入力</t>
        </is>
      </c>
      <c r="D1170" s="13" t="inlineStr">
        <is>
          <t>✅</t>
        </is>
      </c>
      <c r="E1170" s="16" t="inlineStr">
        <is>
          <t>実機</t>
        </is>
      </c>
      <c r="F1170" s="16" t="inlineStr">
        <is>
          <t>user/src/pages/cart/form/[communityAccount]/[eventId].vue</t>
        </is>
      </c>
      <c r="G1170" s="16" t="inlineStr">
        <is>
          <t>コード確認: コミュニティで作るフォーム(短文/長文/メール/電話/日付/チェック/ラジオ/プルダウン)を事前アンケートとしてイベントに設定し、注文時に回答。回答一覧とCSV出力あり(EventFormResponsesPanel.vue)。同行者の個別入力は未実装(注文個数=人数。Issue #1696 注文時の参加人数の設定・v2.15 は計画)。エンプラ版イベントはフォーム非対応</t>
        </is>
      </c>
    </row>
    <row r="1171">
      <c r="A1171" s="16" t="inlineStr">
        <is>
          <t>自社</t>
        </is>
      </c>
      <c r="B1171" s="16" t="inlineStr">
        <is>
          <t>JN07</t>
        </is>
      </c>
      <c r="C1171" s="16" t="inlineStr">
        <is>
          <t>参加者のセルフキャンセル</t>
        </is>
      </c>
      <c r="D1171" s="13" t="inlineStr">
        <is>
          <t>✅</t>
        </is>
      </c>
      <c r="E1171" s="16" t="inlineStr">
        <is>
          <t>実機</t>
        </is>
      </c>
      <c r="F1171" s="16" t="inlineStr">
        <is>
          <t>base/src/components/UserEventCard.vue</t>
        </is>
      </c>
      <c r="G1171" s="16" t="inlineStr">
        <is>
          <t>コード確認: 注文期限まで本人が注文履歴から個別キャンセルでき、事前決済分はStripeで自動返金(functions/default/src/cancelOrders.ts)。システム利用料は返金されない。期限後はキャンセル不可(CancelPolicyDialog.vue)</t>
        </is>
      </c>
    </row>
    <row r="1172">
      <c r="A1172" s="16" t="inlineStr">
        <is>
          <t>自社</t>
        </is>
      </c>
      <c r="B1172" s="16" t="inlineStr">
        <is>
          <t>JN08</t>
        </is>
      </c>
      <c r="C1172" s="16" t="inlineStr">
        <is>
          <t>カレンダー追加</t>
        </is>
      </c>
      <c r="D1172" s="13" t="inlineStr">
        <is>
          <t>✅</t>
        </is>
      </c>
      <c r="E1172" s="16" t="inlineStr">
        <is>
          <t>実機</t>
        </is>
      </c>
      <c r="F1172" s="16" t="inlineStr">
        <is>
          <t>base/src/components/CalendarAddDialog.vue</t>
        </is>
      </c>
      <c r="G1172" s="16" t="inlineStr">
        <is>
          <t>コード確認: イベントページ・注文完了ダイアログからGoogleカレンダー/ICS追加。注文完了メールに invite.ics を添付(functions/default/src/makeIcs.ts)。コミュニティのカレンダー購読URLは未実装(13_成長・露出 D6-2 施策案)。Googleカレンダー自動登録は Issue #676(計画)</t>
        </is>
      </c>
    </row>
    <row r="1173">
      <c r="A1173" s="16" t="inlineStr">
        <is>
          <t>自社</t>
        </is>
      </c>
      <c r="B1173" s="16" t="inlineStr">
        <is>
          <t>JN09</t>
        </is>
      </c>
      <c r="C1173" s="16" t="inlineStr">
        <is>
          <t>開催前リマインド</t>
        </is>
      </c>
      <c r="D1173" s="13" t="inlineStr">
        <is>
          <t>✅</t>
        </is>
      </c>
      <c r="E1173" s="16" t="inlineStr">
        <is>
          <t>実機</t>
        </is>
      </c>
      <c r="F1173" s="16" t="inlineStr">
        <is>
          <t>functions/default/src/pollingTask.ts</t>
        </is>
      </c>
      <c r="G1173" s="16" t="inlineStr">
        <is>
          <t>コード確認(メール/Slack): 注文期限の前にコミュニティメンバーへ未注文リマインド(orderDeadlineMail.ts)、カート放置メール(inCartNotification.ts)、注文期限後に参加確定メール(参加者)、Slack連携先に期限N日前/開始N分前リマインド(slackEventNotification.ts)。確定参加者向けの開催前日リマインド(メール既存仕様 3.1.3)は実装未確認。プッシュ通知は未実装(仕様 05_コミュニケーションと通知/02_プッシュ通知.md, Issue #962/#2088)</t>
        </is>
      </c>
    </row>
    <row r="1174">
      <c r="A1174" s="16" t="inlineStr">
        <is>
          <t>自社</t>
        </is>
      </c>
      <c r="B1174" s="16" t="inlineStr">
        <is>
          <t>JN10</t>
        </is>
      </c>
      <c r="C1174" s="16" t="inlineStr">
        <is>
          <t>QRチケット・当日受付</t>
        </is>
      </c>
      <c r="D1174" s="13" t="inlineStr">
        <is>
          <t>❌</t>
        </is>
      </c>
      <c r="E1174" s="16" t="inlineStr">
        <is>
          <t>実機</t>
        </is>
      </c>
      <c r="F1174" s="16" t="inlineStr">
        <is>
          <t>documents/バックログ/受取時のチェックインシステム.md</t>
        </is>
      </c>
      <c r="G1174" s="16" t="inlineStr">
        <is>
          <t>コード確認(不在): QRチケット・チェックイン・受付機能なし。バックログ『受取時のチェックインシステム』は見出しのみ。17_主催自動化 D-02(当日注文一覧PDF/QR送付)はブレストのみ。Issue なし</t>
        </is>
      </c>
    </row>
    <row r="1175">
      <c r="A1175" s="16" t="inlineStr">
        <is>
          <t>自社</t>
        </is>
      </c>
      <c r="B1175" s="16" t="inlineStr">
        <is>
          <t>JN11</t>
        </is>
      </c>
      <c r="C1175" s="16" t="inlineStr">
        <is>
          <t>参加者一覧の閲覧</t>
        </is>
      </c>
      <c r="D1175" s="13" t="inlineStr">
        <is>
          <t>✅</t>
        </is>
      </c>
      <c r="E1175" s="16" t="inlineStr">
        <is>
          <t>実機</t>
        </is>
      </c>
      <c r="F1175" s="16" t="inlineStr">
        <is>
          <t>base/src/components/EventMemberList.vue</t>
        </is>
      </c>
      <c r="G1175" s="16" t="inlineStr">
        <is>
          <t>コード確認: イベントページに参加者アバター一覧、/c/{account}/e/{id}/members で参加者プロフィール(タグ・SNS)を閲覧。主催者が『常時表示/指定人数到達後に表示』を設定可(members_visible_min_count)。コミュニティの is_show_member=false で一覧を非表示にもできる(設定画面は確認できず・運営/DB設定と推測)</t>
        </is>
      </c>
    </row>
    <row r="1176">
      <c r="A1176" s="16" t="inlineStr">
        <is>
          <t>自社</t>
        </is>
      </c>
      <c r="B1176" s="16" t="inlineStr">
        <is>
          <t>JN12</t>
        </is>
      </c>
      <c r="C1176" s="16" t="inlineStr">
        <is>
          <t>イベント後の体験</t>
        </is>
      </c>
      <c r="D1176" s="13" t="inlineStr">
        <is>
          <t>✅</t>
        </is>
      </c>
      <c r="E1176" s="16" t="inlineStr">
        <is>
          <t>実機</t>
        </is>
      </c>
      <c r="F1176" s="16" t="inlineStr">
        <is>
          <t>functions/default/src/eventConclusionMail.ts</t>
        </is>
      </c>
      <c r="G1176" s="16" t="inlineStr">
        <is>
          <t>コード確認: イベント終了時に参加者へ事後アンケートメール、主催者が登録するアルバム写真(イベント/コミュニティページ表示, base/src/components/manage/community/CommunityAlbum.vue)、イベントグループチャットは終了後も読み取り専用で閲覧可。参加者によるレビュー/写真投稿は未実装(バックログ『イベントへのレビュー機能』は見出しのみ)</t>
        </is>
      </c>
    </row>
    <row r="1177">
      <c r="A1177" s="16" t="inlineStr">
        <is>
          <t>自社</t>
        </is>
      </c>
      <c r="B1177" s="16" t="inlineStr">
        <is>
          <t>SH01</t>
        </is>
      </c>
      <c r="C1177" s="16" t="inlineStr">
        <is>
          <t>共有用URL・OGPカード</t>
        </is>
      </c>
      <c r="D1177" s="13" t="inlineStr">
        <is>
          <t>✅</t>
        </is>
      </c>
      <c r="E1177" s="16" t="inlineStr">
        <is>
          <t>実機</t>
        </is>
      </c>
      <c r="F1177" s="16" t="inlineStr">
        <is>
          <t>functions/default/src/ogpRequest.ts</t>
        </is>
      </c>
      <c r="G1177" s="16" t="inlineStr">
        <is>
          <t>コード確認: /c/{account}/e/{id} とコミュニティURLにタイトル/画像/説明の動的OGPを注入(handleEventOgpRequest, handleCommunityOgpRequest)。SNSクローラ向けフォールバック(#2163)と管理画面URLのOGP(#2082, handleManageOgpRequest)は development のみで v2.14(main) 未反映</t>
        </is>
      </c>
    </row>
    <row r="1178">
      <c r="A1178" s="16" t="inlineStr">
        <is>
          <t>自社</t>
        </is>
      </c>
      <c r="B1178" s="16" t="inlineStr">
        <is>
          <t>SH02</t>
        </is>
      </c>
      <c r="C1178" s="16" t="inlineStr">
        <is>
          <t>SNS・メッセージ共有ボタン</t>
        </is>
      </c>
      <c r="D1178" s="13" t="inlineStr">
        <is>
          <t>✅</t>
        </is>
      </c>
      <c r="E1178" s="16" t="inlineStr">
        <is>
          <t>実機</t>
        </is>
      </c>
      <c r="F1178" s="16" t="inlineStr">
        <is>
          <t>base/src/utils/shareSnsButton.ts</t>
        </is>
      </c>
      <c r="G1178" s="16" t="inlineStr">
        <is>
          <t>コード確認: イベントページにX/Facebook/LINE共有ボタンとURLコピー(文面・ハッシュタグ自動入り)、注文完了後にXシェア。WhatsApp/iMessage専用ボタンなし</t>
        </is>
      </c>
    </row>
    <row r="1179">
      <c r="A1179" s="16" t="inlineStr">
        <is>
          <t>自社</t>
        </is>
      </c>
      <c r="B1179" s="16" t="inlineStr">
        <is>
          <t>SH03</t>
        </is>
      </c>
      <c r="C1179" s="16" t="inlineStr">
        <is>
          <t>友人・同行者の招待導線</t>
        </is>
      </c>
      <c r="D1179" s="13" t="inlineStr">
        <is>
          <t>△</t>
        </is>
      </c>
      <c r="E1179" s="16" t="inlineStr">
        <is>
          <t>実機</t>
        </is>
      </c>
      <c r="F1179" s="16" t="inlineStr">
        <is>
          <t>base/src/components/UserSuccessJoinEventDialog.vue</t>
        </is>
      </c>
      <c r="G1179" s="16" t="inlineStr">
        <is>
          <t>一部実装(コード確認): 注文完了ダイアログでXシェア促進・カレンダー追加・チャット誘導、主催者向けに作成後の告知ガイド(SNS/DM/QR/Slack/チラシ)。未実装: アプリ内で『ともだち』を選んでメール招待=仕様 documents/03_参加者獲得/02_友人招待機能.md, Issue #953(v2.15)/#1249(v2.16)/13_成長・露出 D1-2(Tier3)</t>
        </is>
      </c>
    </row>
    <row r="1180">
      <c r="A1180" s="16" t="inlineStr">
        <is>
          <t>自社</t>
        </is>
      </c>
      <c r="B1180" s="16" t="inlineStr">
        <is>
          <t>SH04</t>
        </is>
      </c>
      <c r="C1180" s="16" t="inlineStr">
        <is>
          <t>紹介リンク・紹介の可視化</t>
        </is>
      </c>
      <c r="D1180" s="13" t="inlineStr">
        <is>
          <t>❌</t>
        </is>
      </c>
      <c r="E1180" s="16" t="inlineStr">
        <is>
          <t>実機</t>
        </is>
      </c>
      <c r="F1180" s="16" t="inlineStr">
        <is>
          <t>documents/13_成長・露出/01_露出獲得施策.md</t>
        </is>
      </c>
      <c r="G1180" s="16" t="inlineStr">
        <is>
          <t>コード確認(不在): 紹介リンク・紹介元の追跡/表示なし(UTM・referral パラメータの実装なし)。施策案のみ: 13_成長・露出 D6-4(共有URLのUTMプリセット)・D6-6(初回接触チャネル属性)・P2-1(招待キャンペーン)。Issue なし</t>
        </is>
      </c>
    </row>
    <row r="1181">
      <c r="A1181" s="16" t="inlineStr">
        <is>
          <t>自社</t>
        </is>
      </c>
      <c r="B1181" s="16" t="inlineStr">
        <is>
          <t>SH05</t>
        </is>
      </c>
      <c r="C1181" s="16" t="inlineStr">
        <is>
          <t>連絡先・SNS連携で友人発見</t>
        </is>
      </c>
      <c r="D1181" s="13" t="inlineStr">
        <is>
          <t>△</t>
        </is>
      </c>
      <c r="E1181" s="16" t="inlineStr">
        <is>
          <t>実機</t>
        </is>
      </c>
      <c r="F1181" s="16" t="inlineStr">
        <is>
          <t>functions/default/src/userFriends.ts</t>
        </is>
      </c>
      <c r="G1181" s="16" t="inlineStr">
        <is>
          <t>代替実装(コード確認): 同じ食事会に参加した相手が自動で『ともだち』として蓄積(マイページ/プロフィール, 食事した回数順・最近会った順・共通イベント履歴, getUserFriends)。連絡先・SNSの友人からの招待/発見は未実装(ともだち招待は SH03 の計画に同じ)</t>
        </is>
      </c>
    </row>
    <row r="1182">
      <c r="A1182" s="16" t="inlineStr">
        <is>
          <t>自社</t>
        </is>
      </c>
      <c r="B1182" s="16" t="inlineStr">
        <is>
          <t>SH06</t>
        </is>
      </c>
      <c r="C1182" s="16" t="inlineStr">
        <is>
          <t>社会的証明の表示</t>
        </is>
      </c>
      <c r="D1182" s="13" t="inlineStr">
        <is>
          <t>✅</t>
        </is>
      </c>
      <c r="E1182" s="16" t="inlineStr">
        <is>
          <t>実機</t>
        </is>
      </c>
      <c r="F1182" s="16" t="inlineStr">
        <is>
          <t>base/src/components/EventMemberList.vue</t>
        </is>
      </c>
      <c r="G1182" s="16" t="inlineStr">
        <is>
          <t>コード確認: イベントページに参加者アバター・プロフィールタグ・人数(N/定員)、イベントカードに参加人数とアバター(トップ一覧はアバター非表示)。主催者が表示開始人数を設定可(members_visible_min_count)</t>
        </is>
      </c>
    </row>
    <row r="1183">
      <c r="A1183" s="16" t="inlineStr">
        <is>
          <t>自社</t>
        </is>
      </c>
      <c r="B1183" s="16" t="inlineStr">
        <is>
          <t>SH07</t>
        </is>
      </c>
      <c r="C1183" s="16" t="inlineStr">
        <is>
          <t>QR・短縮URL・チラシ生成</t>
        </is>
      </c>
      <c r="D1183" s="13" t="inlineStr">
        <is>
          <t>✅</t>
        </is>
      </c>
      <c r="E1183" s="16" t="inlineStr">
        <is>
          <t>実機</t>
        </is>
      </c>
      <c r="F1183" s="16" t="inlineStr">
        <is>
          <t>functions/default/src/flyer.ts</t>
        </is>
      </c>
      <c r="G1183" s="16" t="inlineStr">
        <is>
          <t>コード確認: イベントページでQRコード表示(vue-qrious)、QRコード付きチラシPDF自動生成(イベント管理『チラシ』タブ, flyer Function)、Canvaテンプレ配布。短縮URLは未実装(Issue #2322 イベントページ短縮URL・v2.15。仕様 documents/03_参加者獲得/08_短縮URL生成.md は見出しのみ)</t>
        </is>
      </c>
    </row>
    <row r="1184">
      <c r="A1184" s="16" t="inlineStr">
        <is>
          <t>自社</t>
        </is>
      </c>
      <c r="B1184" s="16" t="inlineStr">
        <is>
          <t>SH08</t>
        </is>
      </c>
      <c r="C1184" s="16" t="inlineStr">
        <is>
          <t>埋め込みウィジェット</t>
        </is>
      </c>
      <c r="D1184" s="13" t="inlineStr">
        <is>
          <t>❌</t>
        </is>
      </c>
      <c r="E1184" s="16" t="inlineStr">
        <is>
          <t>実機</t>
        </is>
      </c>
      <c r="F1184" s="16" t="inlineStr">
        <is>
          <t>documents/13_成長・露出/01_露出獲得施策.md</t>
        </is>
      </c>
      <c r="G1184" s="16" t="inlineStr">
        <is>
          <t>コード確認(不在): 埋め込みウィジェット・公開API・外部向け購読フィードなし。施策案のみ: 13_成長・露出 D6-1(Notion/社内ポータル向けウィジェット・M・Tier5・認証/テナント境界が未決§11#7)。関連: Issue #898 RSS対応(v2.15・本文なし)</t>
        </is>
      </c>
    </row>
    <row r="1185">
      <c r="A1185" s="16" t="inlineStr">
        <is>
          <t>自社</t>
        </is>
      </c>
      <c r="B1185" s="16" t="inlineStr">
        <is>
          <t>OP01</t>
        </is>
      </c>
      <c r="C1185" s="16" t="inlineStr">
        <is>
          <t>簡単な作成</t>
        </is>
      </c>
      <c r="D1185" s="13" t="inlineStr">
        <is>
          <t>✅</t>
        </is>
      </c>
      <c r="E1185" s="16" t="inlineStr">
        <is>
          <t>実機</t>
        </is>
      </c>
      <c r="F1185" s="16" t="inlineStr">
        <is>
          <t>base/src/components/EventEdit.vue</t>
        </is>
      </c>
      <c r="G1185" s="16" t="inlineStr">
        <is>
          <t>コード確認: 5ステップのウィザード(場所・日時→店舗選択→メニュー→イベント詳細→店舗への連絡事項/予約申請)。各ステップで仮保存可、コミュニティ名/カバー画像の初期値、過去イベントのコピー作成で短縮。1ページ化(documents/02_主催者獲得と継続/07_イベント作成の1ページ化.md)は見出しのみ。公開には店舗の予約承認が必要(FD05)。エンプラ版向けテンプレイベントは Issue #2211/#2212</t>
        </is>
      </c>
    </row>
    <row r="1186">
      <c r="A1186" s="16" t="inlineStr">
        <is>
          <t>自社</t>
        </is>
      </c>
      <c r="B1186" s="16" t="inlineStr">
        <is>
          <t>OP02</t>
        </is>
      </c>
      <c r="C1186" s="16" t="inlineStr">
        <is>
          <t>コピー・繰り返し作成</t>
        </is>
      </c>
      <c r="D1186" s="13" t="inlineStr">
        <is>
          <t>✅</t>
        </is>
      </c>
      <c r="E1186" s="16" t="inlineStr">
        <is>
          <t>実機</t>
        </is>
      </c>
      <c r="F1186" s="16" t="inlineStr">
        <is>
          <t>functions/default/src/eventCopyRepeat.ts</t>
        </is>
      </c>
      <c r="G1186" s="16" t="inlineStr">
        <is>
          <t>コード確認: 過去イベントの単発コピー(eventCopy)と繰り返しコピー(日/週/月/年間隔・毎月同日/同曜日・最大12回・店舗の営業日に合わせ自動スキップ)で下書き作成(CopyEventDialog.vue)。シリーズID管理・自動公開/自動予約申請の自動パイプラインは未実装(17_主催自動化 O-03/O-05/O-07 はブレスト)</t>
        </is>
      </c>
    </row>
    <row r="1187">
      <c r="A1187" s="16" t="inlineStr">
        <is>
          <t>自社</t>
        </is>
      </c>
      <c r="B1187" s="16" t="inlineStr">
        <is>
          <t>OP03</t>
        </is>
      </c>
      <c r="C1187" s="16" t="inlineStr">
        <is>
          <t>下書き・限定公開</t>
        </is>
      </c>
      <c r="D1187" s="13" t="inlineStr">
        <is>
          <t>✅</t>
        </is>
      </c>
      <c r="E1187" s="16" t="inlineStr">
        <is>
          <t>実機</t>
        </is>
      </c>
      <c r="F1187" s="16" t="inlineStr">
        <is>
          <t>base/src/components/EventEdit.vue</t>
        </is>
      </c>
      <c r="G1187" s="16" t="inlineStr">
        <is>
          <t>コード確認: 各ステップで仮保存(in_draft)、公開イベント/URL限定公開(is_public)、論理削除。下書き中は参加者の注文不可。『告知開始前』ステータスは要検討(Issue #689)</t>
        </is>
      </c>
    </row>
    <row r="1188">
      <c r="A1188" s="16" t="inlineStr">
        <is>
          <t>自社</t>
        </is>
      </c>
      <c r="B1188" s="16" t="inlineStr">
        <is>
          <t>OP04</t>
        </is>
      </c>
      <c r="C1188" s="16" t="inlineStr">
        <is>
          <t>AI作成支援</t>
        </is>
      </c>
      <c r="D1188" s="13" t="inlineStr">
        <is>
          <t>❌</t>
        </is>
      </c>
      <c r="E1188" s="16" t="inlineStr">
        <is>
          <t>実機</t>
        </is>
      </c>
      <c r="F1188" s="16" t="inlineStr">
        <is>
          <t>documents/バックログ/イベントAI生成機能（カバー画像・文言）.md</t>
        </is>
      </c>
      <c r="G1188" s="16" t="inlineStr">
        <is>
          <t>コード確認(不在): 生成AI/LLM連携のコードなし。バックログ『イベントAI生成機能』『イベントページテンプレート』は見出しのみ。ブレスト/施策案: 17_主催自動化 I-03(説明文のAI生成)、13_成長・露出 D1-1(SNS投稿文自動生成)・D5-1(イベント名ウィザード)。現状の補助はCanvaテンプレのリンクとタイトル/説明の初期値のみ</t>
        </is>
      </c>
    </row>
    <row r="1189">
      <c r="A1189" s="16" t="inlineStr">
        <is>
          <t>自社</t>
        </is>
      </c>
      <c r="B1189" s="16" t="inlineStr">
        <is>
          <t>OP05</t>
        </is>
      </c>
      <c r="C1189" s="16" t="inlineStr">
        <is>
          <t>共同主催・運営メンバー権限</t>
        </is>
      </c>
      <c r="D1189" s="13" t="inlineStr">
        <is>
          <t>✅</t>
        </is>
      </c>
      <c r="E1189" s="16" t="inlineStr">
        <is>
          <t>実機</t>
        </is>
      </c>
      <c r="F1189" s="16" t="inlineStr">
        <is>
          <t>base/src/components/manage/community/ManagerInvitationDialog.vue</t>
        </is>
      </c>
      <c r="G1189" s="16" t="inlineStr">
        <is>
          <t>コード確認: コミュニティ管理者を招待URL(1週間有効・1回限り)で追加/解除、複数管理者可、追加/解除はメール通知(communityManager.ts)。ロールは管理者/メンバーの2段階のみ(オーナー/スタッフ等の権限細分化なし)。管理者リクエスト/承認は Issue #2203(v2.16)</t>
        </is>
      </c>
    </row>
    <row r="1190">
      <c r="A1190" s="16" t="inlineStr">
        <is>
          <t>自社</t>
        </is>
      </c>
      <c r="B1190" s="16" t="inlineStr">
        <is>
          <t>OP06</t>
        </is>
      </c>
      <c r="C1190" s="16" t="inlineStr">
        <is>
          <t>参加者管理・名簿出力</t>
        </is>
      </c>
      <c r="D1190" s="13" t="inlineStr">
        <is>
          <t>✅</t>
        </is>
      </c>
      <c r="E1190" s="16" t="inlineStr">
        <is>
          <t>実機</t>
        </is>
      </c>
      <c r="F1190" s="16" t="inlineStr">
        <is>
          <t>user/src/components/manage/event/member.vue</t>
        </is>
      </c>
      <c r="G1190" s="16" t="inlineStr">
        <is>
          <t>コード確認: イベント管理『参加者』タブで注文一覧(ステータス/メニュー/オプション/金額/注文日時)とCSVダウンロード(ユーザー名・SNS・プロフィール・タグ)。メールアドレス列はない(AC03)。フォーム回答もCSV出力可、コミュニティメンバー一覧もCSV可</t>
        </is>
      </c>
    </row>
    <row r="1191">
      <c r="A1191" s="16" t="inlineStr">
        <is>
          <t>自社</t>
        </is>
      </c>
      <c r="B1191" s="16" t="inlineStr">
        <is>
          <t>OP07</t>
        </is>
      </c>
      <c r="C1191" s="16" t="inlineStr">
        <is>
          <t>一斉メッセージ</t>
        </is>
      </c>
      <c r="D1191" s="13" t="inlineStr">
        <is>
          <t>✅</t>
        </is>
      </c>
      <c r="E1191" s="16" t="inlineStr">
        <is>
          <t>実機</t>
        </is>
      </c>
      <c r="F1191" s="16" t="inlineStr">
        <is>
          <t>base/src/components/manage/event/EventLetter.vue</t>
        </is>
      </c>
      <c r="G1191" s="16" t="inlineStr">
        <is>
          <t>コード確認: レター(メール一斉配信): コミュニティメンバー/イベント参加者/イベント未登録者に配信、予約配信・テスト配信・下書き、個人宛レター(EmailDialog, sendIndividualLetter)。Slack連携の自動通知あり。LINEは運営アカウントの週次一斉配信のみで主催者は使えない。プッシュ通知は未実装(Issue #962)</t>
        </is>
      </c>
    </row>
    <row r="1192">
      <c r="A1192" s="16" t="inlineStr">
        <is>
          <t>自社</t>
        </is>
      </c>
      <c r="B1192" s="16" t="inlineStr">
        <is>
          <t>OP08</t>
        </is>
      </c>
      <c r="C1192" s="16" t="inlineStr">
        <is>
          <t>当日運営ツール</t>
        </is>
      </c>
      <c r="D1192" s="13" t="inlineStr">
        <is>
          <t>△</t>
        </is>
      </c>
      <c r="E1192" s="16" t="inlineStr">
        <is>
          <t>実機</t>
        </is>
      </c>
      <c r="F1192" s="16" t="inlineStr">
        <is>
          <t>user/src/components/manage/event/member.vue</t>
        </is>
      </c>
      <c r="G1192" s="16" t="inlineStr">
        <is>
          <t>一部実装(コード確認): 参加者の注文一覧(当日名簿代わり)/CSV、店舗向けお名前シートPDF(namesprint, 弁当箱の名前貼付)、チラシ、主催者の受取連絡先(電話)を店舗へ通知。受付アプリ・チェックイン・QR受付は未実装(documents/バックログ/受取時のチェックインシステム.md は見出しのみ。17_主催自動化 D-02〜D-04 はブレスト)</t>
        </is>
      </c>
    </row>
    <row r="1193">
      <c r="A1193" s="16" t="inlineStr">
        <is>
          <t>自社</t>
        </is>
      </c>
      <c r="B1193" s="16" t="inlineStr">
        <is>
          <t>OP09</t>
        </is>
      </c>
      <c r="C1193" s="16" t="inlineStr">
        <is>
          <t>売上・入金管理</t>
        </is>
      </c>
      <c r="D1193" s="13" t="inlineStr">
        <is>
          <t>△</t>
        </is>
      </c>
      <c r="E1193" s="16" t="inlineStr">
        <is>
          <t>実機</t>
        </is>
      </c>
      <c r="F1193" s="16" t="inlineStr">
        <is>
          <t>partner/src/pages/order/index.vue</t>
        </is>
      </c>
      <c r="G1193" s="16" t="inlineStr">
        <is>
          <t>一部実装(コード確認): 店舗は注文一覧で注文数・注文金額を確認。主催者請求書払いは請求書PDF・請求金額一覧(manage 請求書払いタブ)と運営(support)の入金ステータス管理/督促メール(support/src/pages/invoices)。主催者への売上払い出し・売上ダッシュボードは未実装(documents/01_マネタイズと決済/04_有料チケットの払い出し.md は要改訂・未実装, Issue #958)。店舗精算は月末締め翌月末払いの手動運用で、明細自動化は Issue #2329(v2.15・本文なし)</t>
        </is>
      </c>
    </row>
    <row r="1194">
      <c r="A1194" s="16" t="inlineStr">
        <is>
          <t>自社</t>
        </is>
      </c>
      <c r="B1194" s="16" t="inlineStr">
        <is>
          <t>OP10</t>
        </is>
      </c>
      <c r="C1194" s="16" t="inlineStr">
        <is>
          <t>流入・申込の分析</t>
        </is>
      </c>
      <c r="D1194" s="13" t="inlineStr">
        <is>
          <t>❌</t>
        </is>
      </c>
      <c r="E1194" s="16" t="inlineStr">
        <is>
          <t>実機</t>
        </is>
      </c>
      <c r="F1194" s="16" t="inlineStr">
        <is>
          <t>user/src/pages/manage/event/[eventId]/[tab].vue</t>
        </is>
      </c>
      <c r="G1194" s="16" t="inlineStr">
        <is>
          <t>コード確認(不在): 主催者向けの閲覧数・申込転換・流入元(UTM)分析なし(Firebase Analytics は運営側計測のみ)。エンプラ版のみ全社管理者ダッシュボード(月別/メンバー別の利用金額・回数, CSV)。13_成長・露出 D6-4/D6-5・Issue #2382(人数表示の転換率計測)は運営側の計測施策</t>
        </is>
      </c>
    </row>
    <row r="1195">
      <c r="A1195" s="16" t="inlineStr">
        <is>
          <t>自社</t>
        </is>
      </c>
      <c r="B1195" s="16" t="inlineStr">
        <is>
          <t>OP11</t>
        </is>
      </c>
      <c r="C1195" s="16" t="inlineStr">
        <is>
          <t>主催者ページ・グループページ</t>
        </is>
      </c>
      <c r="D1195" s="13" t="inlineStr">
        <is>
          <t>✅</t>
        </is>
      </c>
      <c r="E1195" s="16" t="inlineStr">
        <is>
          <t>実機</t>
        </is>
      </c>
      <c r="F1195" s="16" t="inlineStr">
        <is>
          <t>user/src/pages/c/[communityAccount]/index.vue</t>
        </is>
      </c>
      <c r="G1195" s="16" t="inlineStr">
        <is>
          <t>コード確認: コミュニティの公開ページ(/c/{account}: カバー・説明・アルバム・開催イベント一覧(終了分含む)・メンバー・SNS/お問い合わせ・参加/退会ボタン)。個人プロフィールページ(/u/{userId})もあり</t>
        </is>
      </c>
    </row>
    <row r="1196">
      <c r="A1196" s="16" t="inlineStr">
        <is>
          <t>自社</t>
        </is>
      </c>
      <c r="B1196" s="16" t="inlineStr">
        <is>
          <t>OP12</t>
        </is>
      </c>
      <c r="C1196" s="16" t="inlineStr">
        <is>
          <t>外部ツール連携・API</t>
        </is>
      </c>
      <c r="D1196" s="13" t="inlineStr">
        <is>
          <t>✅</t>
        </is>
      </c>
      <c r="E1196" s="16" t="inlineStr">
        <is>
          <t>実機</t>
        </is>
      </c>
      <c r="F1196" s="16" t="inlineStr">
        <is>
          <t>base/src/components/manage/community/CommunitySlackSetting.vue</t>
        </is>
      </c>
      <c r="G1196" s="16" t="inlineStr">
        <is>
          <t>コード確認: Slack App連携(注文通知・注文期限リマインド・開始リマインド・終了通知。slackbot.ts/slackOrderNotification.ts/slackEventNotification.ts)、Googleカレンダー/ICS追加、Canva(外部テンプレ)。公開API/Webhook/Zoom/Mailchimp連携はなし(13_成長 D3-3 公開API/MCP・17_主催自動化 I-04 はブレスト・探索)。Googleカレンダー自動登録は Issue #676</t>
        </is>
      </c>
    </row>
    <row r="1197">
      <c r="A1197" s="16" t="inlineStr">
        <is>
          <t>自社</t>
        </is>
      </c>
      <c r="B1197" s="16" t="inlineStr">
        <is>
          <t>AC01</t>
        </is>
      </c>
      <c r="C1197" s="16" t="inlineStr">
        <is>
          <t>無料イベントは無料</t>
        </is>
      </c>
      <c r="D1197" s="13" t="inlineStr">
        <is>
          <t>✅</t>
        </is>
      </c>
      <c r="E1197" s="16" t="inlineStr">
        <is>
          <t>実機</t>
        </is>
      </c>
      <c r="F1197" s="16" t="inlineStr">
        <is>
          <t>user/src/locales/messages/ja.ts</t>
        </is>
      </c>
      <c r="G1197" s="16" t="inlineStr">
        <is>
          <t>コード確認(文言・手数料ロジック): 主催者利用料は無料(コミュニティ作成・イベント開催・メール配信など全機能)。費用は選んだ支払い方式で発生(参加者の事前決済=参加者にシステム利用料110円/決済、主催者請求書払い=注文額の10%。common/src/utils/paymentUserFee.ts)。食事注文のない純粋な『無料イベント』は『食事は持参する』参加枠で可能だが、店舗予約が前提</t>
        </is>
      </c>
    </row>
    <row r="1198">
      <c r="A1198" s="16" t="inlineStr">
        <is>
          <t>自社</t>
        </is>
      </c>
      <c r="B1198" s="16" t="inlineStr">
        <is>
          <t>AC02</t>
        </is>
      </c>
      <c r="C1198" s="16" t="inlineStr">
        <is>
          <t>手数料負担の選択</t>
        </is>
      </c>
      <c r="D1198" s="13" t="inlineStr">
        <is>
          <t>✅</t>
        </is>
      </c>
      <c r="E1198" s="16" t="inlineStr">
        <is>
          <t>実機</t>
        </is>
      </c>
      <c r="F1198" s="16" t="inlineStr">
        <is>
          <t>base/src/components/eventcreate/EventDetailCard.vue</t>
        </is>
      </c>
      <c r="G1198" s="16" t="inlineStr">
        <is>
          <t>コード確認: イベント作成時に支払い方式を選択: 参加者事前決済(参加者がシステム利用料110円を負担・主催者は手数料なし)/主催者請求書払い(主催者に10%手数料。全額おごり・1個あたり定額おごり)/福利厚生割引(エンプラのみ)。予約申請後は変更不可</t>
        </is>
      </c>
    </row>
    <row r="1199">
      <c r="A1199" s="16" t="inlineStr">
        <is>
          <t>自社</t>
        </is>
      </c>
      <c r="B1199" s="16" t="inlineStr">
        <is>
          <t>AC03</t>
        </is>
      </c>
      <c r="C1199" s="16" t="inlineStr">
        <is>
          <t>参加者データの所有・出力</t>
        </is>
      </c>
      <c r="D1199" s="13" t="inlineStr">
        <is>
          <t>△</t>
        </is>
      </c>
      <c r="E1199" s="16" t="inlineStr">
        <is>
          <t>実機</t>
        </is>
      </c>
      <c r="F1199" s="16" t="inlineStr">
        <is>
          <t>base/src/composable/memberCsvExport.ts</t>
        </is>
      </c>
      <c r="G1199" s="16" t="inlineStr">
        <is>
          <t>一部実装(コード確認): 参加者名簿(ユーザー名・SNS・プロフィール・タグ・注文)とコミュニティメンバーをCSV出力でき、レターで直接配信できる。ただしメールアドレスは主催者に開示・エクスポートされない(送信は運営基盤経由・返信先のみ主催者アドレス)</t>
        </is>
      </c>
    </row>
    <row r="1200">
      <c r="A1200" s="16" t="inlineStr">
        <is>
          <t>自社</t>
        </is>
      </c>
      <c r="B1200" s="16" t="inlineStr">
        <is>
          <t>AC04</t>
        </is>
      </c>
      <c r="C1200" s="16" t="inlineStr">
        <is>
          <t>他サービスからの移行</t>
        </is>
      </c>
      <c r="D1200" s="13" t="inlineStr">
        <is>
          <t>❌</t>
        </is>
      </c>
      <c r="E1200" s="16" t="inlineStr">
        <is>
          <t>実機</t>
        </is>
      </c>
      <c r="F1200" s="16" t="inlineStr">
        <is>
          <t>documents/02_主催者獲得と継続/17_主催自動化.md</t>
        </is>
      </c>
      <c r="G1200" s="16" t="inlineStr">
        <is>
          <t>コード確認(不在): 他サービス(Peatix/connpass等)からのイベント・参加者の取り込み/移行機能なし(エンプラ版のみ従業員CSV一括取込)。ブレスト/施策案: 17_主催自動化 A-01/A-02(外部への自動投稿・同期)、13_成長・露出 D3-1(検証前)・P4-1(手動の並行掲載)</t>
        </is>
      </c>
    </row>
    <row r="1201">
      <c r="A1201" s="16" t="inlineStr">
        <is>
          <t>自社</t>
        </is>
      </c>
      <c r="B1201" s="16" t="inlineStr">
        <is>
          <t>AC05</t>
        </is>
      </c>
      <c r="C1201" s="16" t="inlineStr">
        <is>
          <t>主催者紹介・アンバサダー</t>
        </is>
      </c>
      <c r="D1201" s="13" t="inlineStr">
        <is>
          <t>❌</t>
        </is>
      </c>
      <c r="E1201" s="16" t="inlineStr">
        <is>
          <t>実機</t>
        </is>
      </c>
      <c r="F1201" s="16" t="inlineStr">
        <is>
          <t>documents/13_成長・露出/01_露出獲得施策.md</t>
        </is>
      </c>
      <c r="G1201" s="16" t="inlineStr">
        <is>
          <t>コード確認(不在): 主催者の紹介報酬/アフィリエイト/アンバサダー制度なし。施策案のみ: 13_成長・露出 P5-8(幹事アンバサダー・UGC)、P2-1(招待キャンペーン)。Issue #965『飲食店を紹介してね』は店舗側の紹介リクエスト(未着手)。documents/04_飲食店向け/09_飲食店紹介プログラム.md は見出しのみ</t>
        </is>
      </c>
    </row>
    <row r="1202">
      <c r="A1202" s="16" t="inlineStr">
        <is>
          <t>自社</t>
        </is>
      </c>
      <c r="B1202" s="16" t="inlineStr">
        <is>
          <t>AC06</t>
        </is>
      </c>
      <c r="C1202" s="16" t="inlineStr">
        <is>
          <t>主催者向け教育・テンプレ</t>
        </is>
      </c>
      <c r="D1202" s="13" t="inlineStr">
        <is>
          <t>✅</t>
        </is>
      </c>
      <c r="E1202" s="16" t="inlineStr">
        <is>
          <t>実機</t>
        </is>
      </c>
      <c r="F1202" s="16" t="inlineStr">
        <is>
          <t>user/src/navigation/manage.ts</t>
        </is>
      </c>
      <c r="G1202" s="16" t="inlineStr">
        <is>
          <t>コード確認: 主催者管理画面のナビに『コミュニティガイド』『告知・集客のコツ』『カバーのテンプレ』『チラシのテンプレ』(Canva/Googleスライド等の外部リンク)、イベント開催手順の解説モーダル、noteマガジン、導入オンラインMTG(日程調整フォーム)。ガイドは外部ドキュメント中心でアプリ内の事例集・ウェビナーは未確認</t>
        </is>
      </c>
    </row>
    <row r="1203">
      <c r="A1203" s="16" t="inlineStr">
        <is>
          <t>自社</t>
        </is>
      </c>
      <c r="B1203" s="16" t="inlineStr">
        <is>
          <t>AC07</t>
        </is>
      </c>
      <c r="C1203" s="16" t="inlineStr">
        <is>
          <t>集客支援の商品</t>
        </is>
      </c>
      <c r="D1203" s="13" t="inlineStr">
        <is>
          <t>△</t>
        </is>
      </c>
      <c r="E1203" s="16" t="inlineStr">
        <is>
          <t>実機</t>
        </is>
      </c>
      <c r="F1203" s="16" t="inlineStr">
        <is>
          <t>functions/default/src/eventInformationMail.ts</t>
        </is>
      </c>
      <c r="G1203" s="16" t="inlineStr">
        <is>
          <t>一部(無料のみ): レター配信・チラシ/QR・Slack通知に加え、公開イベントはトップ掲載・週次ダイジェストメール(全ユーザー向け・毎週火曜)・LINE週次一斉配信・人気イベントメールでプラットフォームが露出。有料の掲載ブースト/広告は未実装(13_成長・露出 D4-5 プラットフォーム内有料ブースト・L・Tier5 探索・在庫/DAU条件付き)</t>
        </is>
      </c>
    </row>
    <row r="1204">
      <c r="A1204" s="16" t="inlineStr">
        <is>
          <t>自社</t>
        </is>
      </c>
      <c r="B1204" s="16" t="inlineStr">
        <is>
          <t>AC08</t>
        </is>
      </c>
      <c r="C1204" s="16" t="inlineStr">
        <is>
          <t>運営主催・公式イベント</t>
        </is>
      </c>
      <c r="D1204" s="13" t="inlineStr">
        <is>
          <t>？</t>
        </is>
      </c>
      <c r="E1204" s="16" t="inlineStr">
        <is>
          <t>なし</t>
        </is>
      </c>
      <c r="F1204" s="16" t="inlineStr">
        <is>
          <t>documents/13_成長・露出/01_露出獲得施策.md</t>
        </is>
      </c>
      <c r="G1204" s="16" t="inlineStr">
        <is>
          <t>リポジトリから確認不可: 運営(ニジュウニ)自身の公式イベント開催実績はFirestoreデータ側にありコード/文書で確認できない。計画(施策案・ブレスト): 13_成長・露出 P5-9(季節の運営公式イベント)、17_主催自動化 S-04(公式オープンテーブル)。参考: 神田カレーグランプリ向けOEM(subdomain_tags: kanda-curry)の実績あり(共催/主催の別は確認不可)</t>
        </is>
      </c>
    </row>
    <row r="1205">
      <c r="A1205" s="16" t="inlineStr">
        <is>
          <t>自社</t>
        </is>
      </c>
      <c r="B1205" s="16" t="inlineStr">
        <is>
          <t>CR01</t>
        </is>
      </c>
      <c r="C1205" s="16" t="inlineStr">
        <is>
          <t>ダイジェスト・おすすめ通知</t>
        </is>
      </c>
      <c r="D1205" s="13" t="inlineStr">
        <is>
          <t>✅</t>
        </is>
      </c>
      <c r="E1205" s="16" t="inlineStr">
        <is>
          <t>実機</t>
        </is>
      </c>
      <c r="F1205" s="16" t="inlineStr">
        <is>
          <t>functions/default/src/eventInformationMail.ts</t>
        </is>
      </c>
      <c r="G1205" s="16" t="inlineStr">
        <is>
          <t>コード確認: 公開イベント(定員未満・最大12件)の週次ダイジェストメールを全ユーザーへ毎週火曜10:15配信(配信停止グループあり)、LINE公式アカウントへ週次一斉配信(金曜12:15, lineBroadcast.ts)、人気イベントメール、コミュニティメンバーへの新着イベントメール。内容はパーソナライズなし。プッシュ通知は未実装</t>
        </is>
      </c>
    </row>
    <row r="1206">
      <c r="A1206" s="16" t="inlineStr">
        <is>
          <t>自社</t>
        </is>
      </c>
      <c r="B1206" s="16" t="inlineStr">
        <is>
          <t>CR02</t>
        </is>
      </c>
      <c r="C1206" s="16" t="inlineStr">
        <is>
          <t>自動メンバー化</t>
        </is>
      </c>
      <c r="D1206" s="13" t="inlineStr">
        <is>
          <t>✅</t>
        </is>
      </c>
      <c r="E1206" s="16" t="inlineStr">
        <is>
          <t>実機</t>
        </is>
      </c>
      <c r="F1206" s="16" t="inlineStr">
        <is>
          <t>functions/default/src/orderConfirmedSideEffects.ts</t>
        </is>
      </c>
      <c r="G1206" s="16" t="inlineStr">
        <is>
          <t>コード確認: 注文確定時に community.addMember で自動的にコミュニティメンバーになり、以後の新着イベントメール/レターの宛先に入る。『コミュニティに参加/退会』ボタンで手動の参加・退会も可(管理者は退会不可)</t>
        </is>
      </c>
    </row>
    <row r="1207">
      <c r="A1207" s="16" t="inlineStr">
        <is>
          <t>自社</t>
        </is>
      </c>
      <c r="B1207" s="16" t="inlineStr">
        <is>
          <t>CR03</t>
        </is>
      </c>
      <c r="C1207" s="16" t="inlineStr">
        <is>
          <t>前回参加者への優先案内</t>
        </is>
      </c>
      <c r="D1207" s="13" t="inlineStr">
        <is>
          <t>△</t>
        </is>
      </c>
      <c r="E1207" s="16" t="inlineStr">
        <is>
          <t>実機</t>
        </is>
      </c>
      <c r="F1207" s="16" t="inlineStr">
        <is>
          <t>functions/default/src/orderCompletionMail.ts</t>
        </is>
      </c>
      <c r="G1207" s="16" t="inlineStr">
        <is>
          <t>一部実装(コード確認): 参加者は自動でコミュニティメンバーになり、公開イベントの最初の注文時に新着イベントメールがメンバー全員へ届く。レターでメンバー/過去参加者へ個別案内も可。先行販売・優先枠・過去参加者限定の案内は未実装(17_主催自動化 A-08・13_成長・露出 D1-6 は施策案・M・Tier3)</t>
        </is>
      </c>
    </row>
    <row r="1208">
      <c r="A1208" s="16" t="inlineStr">
        <is>
          <t>自社</t>
        </is>
      </c>
      <c r="B1208" s="16" t="inlineStr">
        <is>
          <t>CR04</t>
        </is>
      </c>
      <c r="C1208" s="16" t="inlineStr">
        <is>
          <t>主催者CRM・購読者リスト</t>
        </is>
      </c>
      <c r="D1208" s="13" t="inlineStr">
        <is>
          <t>✅</t>
        </is>
      </c>
      <c r="E1208" s="16" t="inlineStr">
        <is>
          <t>実機</t>
        </is>
      </c>
      <c r="F1208" s="16" t="inlineStr">
        <is>
          <t>base/src/components/manage/community/CommunityMemberTable.vue</t>
        </is>
      </c>
      <c r="G1208" s="16" t="inlineStr">
        <is>
          <t>コード確認: 注文確定で自動蓄積されるコミュニティメンバー一覧(CSV出力可)、レターの配信先セグメント(コミュニティメンバー全体/イベント参加者/イベント未登録者/個別)。任意条件(参加回数・タグ等)でのセグメントや外部CRM連携はなし。一覧からの個別配信強化は Issue #1089</t>
        </is>
      </c>
    </row>
    <row r="1209">
      <c r="A1209" s="16" t="inlineStr">
        <is>
          <t>自社</t>
        </is>
      </c>
      <c r="B1209" s="16" t="inlineStr">
        <is>
          <t>CR05</t>
        </is>
      </c>
      <c r="C1209" s="16" t="inlineStr">
        <is>
          <t>参加履歴・バッジ・実績</t>
        </is>
      </c>
      <c r="D1209" s="13" t="inlineStr">
        <is>
          <t>✅</t>
        </is>
      </c>
      <c r="E1209" s="16" t="inlineStr">
        <is>
          <t>実機</t>
        </is>
      </c>
      <c r="F1209" s="16" t="inlineStr">
        <is>
          <t>base/src/components/profile/UserProfileStatsSummaryCard.vue</t>
        </is>
      </c>
      <c r="G1209" s="16" t="inlineStr">
        <is>
          <t>コード確認: マイページ/プロフィールに参加イベント数・ともだち数・参加/運営コミュニティ数・フード注文数を集計表示(recountUserProfileCounts)、友人ごとの『食事した回数』。バッジ/アチーブメントは未実装(Issue #968 アチーブメント機能・マイルストーンなし、documents/03_参加者獲得/07_アチーブメント系機能.md は見出しのみ)</t>
        </is>
      </c>
    </row>
    <row r="1210">
      <c r="A1210" s="16" t="inlineStr">
        <is>
          <t>自社</t>
        </is>
      </c>
      <c r="B1210" s="16" t="inlineStr">
        <is>
          <t>CR06</t>
        </is>
      </c>
      <c r="C1210" s="16" t="inlineStr">
        <is>
          <t>レビュー・評価</t>
        </is>
      </c>
      <c r="D1210" s="13" t="inlineStr">
        <is>
          <t>❌</t>
        </is>
      </c>
      <c r="E1210" s="16" t="inlineStr">
        <is>
          <t>実機</t>
        </is>
      </c>
      <c r="F1210" s="16" t="inlineStr">
        <is>
          <t>documents/バックログ/イベントへのレビュー機能.md</t>
        </is>
      </c>
      <c r="G1210" s="16" t="inlineStr">
        <is>
          <t>コード確認(不在): イベント/主催者/店舗/フードのレビュー・評価機能なし。バックログ『イベントへのレビュー機能』・documents/04_飲食店向け/08_フードのレビュー機能.md は見出しのみ(仕様未記述)。Issue なし</t>
        </is>
      </c>
    </row>
    <row r="1211">
      <c r="A1211" s="16" t="inlineStr">
        <is>
          <t>自社</t>
        </is>
      </c>
      <c r="B1211" s="16" t="inlineStr">
        <is>
          <t>CR07</t>
        </is>
      </c>
      <c r="C1211" s="16" t="inlineStr">
        <is>
          <t>グループチャット・掲示板</t>
        </is>
      </c>
      <c r="D1211" s="13" t="inlineStr">
        <is>
          <t>✅</t>
        </is>
      </c>
      <c r="E1211" s="16" t="inlineStr">
        <is>
          <t>実機</t>
        </is>
      </c>
      <c r="F1211" s="16" t="inlineStr">
        <is>
          <t>base/src/components/chat/ChatApp.vue</t>
        </is>
      </c>
      <c r="G1211" s="16" t="inlineStr">
        <is>
          <t>コード確認: イベント参加者のグループチャット(テキスト・画像添付・リアクション・送信取り消し・未読バッジ・未読メール通知 chatUnreadMail.ts)。注文完了後に開設、終了後は読み取り専用。コミュニティチャット(Issue #2217・v2.15)・既読表示(#2219)・モデレーション・プッシュ通知(#2088・v2.16)は未実装。掲示板なし</t>
        </is>
      </c>
    </row>
    <row r="1212">
      <c r="A1212" s="16" t="inlineStr">
        <is>
          <t>自社</t>
        </is>
      </c>
      <c r="B1212" s="16" t="inlineStr">
        <is>
          <t>CR08</t>
        </is>
      </c>
      <c r="C1212" s="16" t="inlineStr">
        <is>
          <t>年間まとめ・振り返り共有</t>
        </is>
      </c>
      <c r="D1212" s="13" t="inlineStr">
        <is>
          <t>❌</t>
        </is>
      </c>
      <c r="E1212" s="16" t="inlineStr">
        <is>
          <t>実機</t>
        </is>
      </c>
      <c r="F1212" s="16" t="inlineStr">
        <is>
          <t>documents/13_成長・露出/01_露出獲得施策.md</t>
        </is>
      </c>
      <c r="G1212" s="16" t="inlineStr">
        <is>
          <t>コード確認(不在): 年間振り返り(Wrapped型)なし。施策案・ブレストのみ: 13_成長・露出 D2-8(年間振り返りSNSシェア・L・Tier5探索)、17_主催自動化 K-06。Issue なし</t>
        </is>
      </c>
    </row>
    <row r="1213">
      <c r="A1213" s="16" t="inlineStr">
        <is>
          <t>自社</t>
        </is>
      </c>
      <c r="B1213" s="16" t="inlineStr">
        <is>
          <t>TS01</t>
        </is>
      </c>
      <c r="C1213" s="16" t="inlineStr">
        <is>
          <t>本人確認・認証</t>
        </is>
      </c>
      <c r="D1213" s="13" t="inlineStr">
        <is>
          <t>△</t>
        </is>
      </c>
      <c r="E1213" s="16" t="inlineStr">
        <is>
          <t>実機</t>
        </is>
      </c>
      <c r="F1213" s="16" t="inlineStr">
        <is>
          <t>user/src/pages/login.vue</t>
        </is>
      </c>
      <c r="G1213" s="16" t="inlineStr">
        <is>
          <t>一部実装(コード確認): メール+6桁パスコード/Google/Facebook/Xでアカウント認証、メール変更時も再認証。主催者の電話番号は予約申請時に必須入力(店舗連絡用)だがSMS認証なし。本人確認書類・実名確認なし。計画: Issue #934 主催者の電話番号の登録と認証・#1592 主催者の電話番号認証機能(いずれもマイルストーンなし)。バックログ『主催者の電話番号を認証登録』は見出しのみ</t>
        </is>
      </c>
    </row>
    <row r="1214">
      <c r="A1214" s="16" t="inlineStr">
        <is>
          <t>自社</t>
        </is>
      </c>
      <c r="B1214" s="16" t="inlineStr">
        <is>
          <t>TS02</t>
        </is>
      </c>
      <c r="C1214" s="16" t="inlineStr">
        <is>
          <t>主催者の審査・認定</t>
        </is>
      </c>
      <c r="D1214" s="13" t="inlineStr">
        <is>
          <t>✅</t>
        </is>
      </c>
      <c r="E1214" s="16" t="inlineStr">
        <is>
          <t>実機</t>
        </is>
      </c>
      <c r="F1214" s="16" t="inlineStr">
        <is>
          <t>support/src/pages/communities/index.vue</t>
        </is>
      </c>
      <c r="G1214" s="16" t="inlineStr">
        <is>
          <t>コード確認: コミュニティは新規作成後に運営(support)が承認(is_approved)するまでイベント作成不可、店舗も運営承認制(support/src/pages/shops)。規約でイベント内容の審査・停止を明記(terms/content/user.md 第25条)。段階的な権限付与・認定バッジはなし。コミュニティの is_approved を自己承認できないようにする Issue #2452 は未解決</t>
        </is>
      </c>
    </row>
    <row r="1215">
      <c r="A1215" s="16" t="inlineStr">
        <is>
          <t>自社</t>
        </is>
      </c>
      <c r="B1215" s="16" t="inlineStr">
        <is>
          <t>TS03</t>
        </is>
      </c>
      <c r="C1215" s="16" t="inlineStr">
        <is>
          <t>通報・ブロック・モデレーション</t>
        </is>
      </c>
      <c r="D1215" s="13" t="inlineStr">
        <is>
          <t>△</t>
        </is>
      </c>
      <c r="E1215" s="16" t="inlineStr">
        <is>
          <t>実機</t>
        </is>
      </c>
      <c r="F1215" s="16" t="inlineStr">
        <is>
          <t>functions/default/src/recallChatMessage.ts</t>
        </is>
      </c>
      <c r="G1215" s="16" t="inlineStr">
        <is>
          <t>一部実装(コード確認): 運営(support)がコミュニティ/店舗の承認・公開を切替(support/src/pages/communities, shops)、利用規約でアカウント停止・イベント停止、チャットは送信者による送信取り消しのみ。利用者による通報・ブロック・管理者のメッセージ削除は未実装(計画: documents/05_コミュニケーションと通知/01_チャット機能_01.md §6.3 Phase 3『管理者によるメッセージ削除/ブロック/通報』)</t>
        </is>
      </c>
    </row>
    <row r="1216">
      <c r="A1216" s="16" t="inlineStr">
        <is>
          <t>自社</t>
        </is>
      </c>
      <c r="B1216" s="16" t="inlineStr">
        <is>
          <t>TS04</t>
        </is>
      </c>
      <c r="C1216" s="16" t="inlineStr">
        <is>
          <t>ドタキャン対策</t>
        </is>
      </c>
      <c r="D1216" s="13" t="inlineStr">
        <is>
          <t>✅</t>
        </is>
      </c>
      <c r="E1216" s="16" t="inlineStr">
        <is>
          <t>実機</t>
        </is>
      </c>
      <c r="F1216" s="16" t="inlineStr">
        <is>
          <t>base/src/components/CancelPolicyDialog.vue</t>
        </is>
      </c>
      <c r="G1216" s="16" t="inlineStr">
        <is>
          <t>コード確認: 事前決済(Stripe: カード/Apple Pay/Google Pay/PayPay)が基本で、キャンセルは注文期限まで0%・期限以降は不可(100%)、システム利用料は返金なし。最小催行人数による自動中止+全額返金(functions/default/src/minimumParticipants.ts)。規約で過度なキャンセルを禁止(第25条17)。欠席料・デポジットの別建てなし。当日払いはUIから除外済み</t>
        </is>
      </c>
    </row>
    <row r="1217">
      <c r="A1217" s="16" t="inlineStr">
        <is>
          <t>自社</t>
        </is>
      </c>
      <c r="B1217" s="16" t="inlineStr">
        <is>
          <t>TS05</t>
        </is>
      </c>
      <c r="C1217" s="16" t="inlineStr">
        <is>
          <t>参加者情報の保護</t>
        </is>
      </c>
      <c r="D1217" s="13" t="inlineStr">
        <is>
          <t>✅</t>
        </is>
      </c>
      <c r="E1217" s="16" t="inlineStr">
        <is>
          <t>実機</t>
        </is>
      </c>
      <c r="F1217" s="16" t="inlineStr">
        <is>
          <t>common/src/utils/eventParticipantsVisibility.ts</t>
        </is>
      </c>
      <c r="G1217" s="16" t="inlineStr">
        <is>
          <t>コード確認: 参加者一覧の表示開始人数(指定人数まで非表示・主催者が設定)、コミュニティ側の参加者表示OFF(is_show_member・設定画面は確認できず)、URL限定公開、参加者0人時は一覧非表示。強化計画: Issue #2368/#2378/#2379/#2380/#2387/#2388(段階表示・ぼかし・参加者本人の掲載選択・非公開時の応答除外)は未実装</t>
        </is>
      </c>
    </row>
    <row r="1218">
      <c r="A1218" s="16" t="inlineStr">
        <is>
          <t>自社</t>
        </is>
      </c>
      <c r="B1218" s="16" t="inlineStr">
        <is>
          <t>TS06</t>
        </is>
      </c>
      <c r="C1218" s="16" t="inlineStr">
        <is>
          <t>直接取引の抑止</t>
        </is>
      </c>
      <c r="D1218" s="13" t="inlineStr">
        <is>
          <t>❌</t>
        </is>
      </c>
      <c r="E1218" s="16" t="inlineStr">
        <is>
          <t>実機</t>
        </is>
      </c>
      <c r="F1218" s="16" t="inlineStr">
        <is>
          <t>terms/content/user.md</t>
        </is>
      </c>
      <c r="G1218" s="16" t="inlineStr">
        <is>
          <t>コード確認(不在): 外部誘導・直接取引を禁止する規約/仕組みは確認できず(利用規約第25条は営業・勧誘行為の禁止で、取引迂回の禁止ではない)。決済はプラットフォーム(Stripe一括受領)経由が基本のため構造上の余地は小さい</t>
        </is>
      </c>
    </row>
    <row r="1219">
      <c r="A1219" s="16" t="inlineStr">
        <is>
          <t>自社</t>
        </is>
      </c>
      <c r="B1219" s="16" t="inlineStr">
        <is>
          <t>FD01</t>
        </is>
      </c>
      <c r="C1219" s="16" t="inlineStr">
        <is>
          <t>メニューの事前注文・選択</t>
        </is>
      </c>
      <c r="D1219" s="13" t="inlineStr">
        <is>
          <t>✅</t>
        </is>
      </c>
      <c r="E1219" s="16" t="inlineStr">
        <is>
          <t>実機</t>
        </is>
      </c>
      <c r="F1219" s="16" t="inlineStr">
        <is>
          <t>base/src/components/EventMenuList.vue</t>
        </is>
      </c>
      <c r="G1219" s="16" t="inlineStr">
        <is>
          <t>コード確認: イベントページのメニュー一覧から選択→カート→事前決済(オプション: 単一/複数・必須/任意・金額差分に対応。Phase 1実装済み)、『食事は持参する』(注文なし参加)も選択可。サイドメニュー(Issue #542)・主催者独自メニュー(#2323・v2.16)は未実装</t>
        </is>
      </c>
    </row>
    <row r="1220">
      <c r="A1220" s="16" t="inlineStr">
        <is>
          <t>自社</t>
        </is>
      </c>
      <c r="B1220" s="16" t="inlineStr">
        <is>
          <t>FD02</t>
        </is>
      </c>
      <c r="C1220" s="16" t="inlineStr">
        <is>
          <t>アレルギー・食の好みの登録</t>
        </is>
      </c>
      <c r="D1220" s="13" t="inlineStr">
        <is>
          <t>❌</t>
        </is>
      </c>
      <c r="E1220" s="16" t="inlineStr">
        <is>
          <t>実機</t>
        </is>
      </c>
      <c r="F1220" s="16" t="inlineStr">
        <is>
          <t>documents/04_飲食店向け/02_オプションメニュー.md</t>
        </is>
      </c>
      <c r="G1220" s="16" t="inlineStr">
        <is>
          <t>コード確認(不在): アレルギー/食の好み/ベジ・ハラル等の登録・店舗共有なし(オプションメニュー仕様 §1.4 でスコープ外と明記)。代替: 主催者が事前アンケートフォームで自由設問は可(主催者のみ閲覧・店舗へは共有されない)。プロフィールタグは趣味・関心用で食の制約ではない</t>
        </is>
      </c>
    </row>
    <row r="1221">
      <c r="A1221" s="16" t="inlineStr">
        <is>
          <t>自社</t>
        </is>
      </c>
      <c r="B1221" s="16" t="inlineStr">
        <is>
          <t>FD03</t>
        </is>
      </c>
      <c r="C1221" s="16" t="inlineStr">
        <is>
          <t>店舗向け管理画面</t>
        </is>
      </c>
      <c r="D1221" s="13" t="inlineStr">
        <is>
          <t>✅</t>
        </is>
      </c>
      <c r="E1221" s="16" t="inlineStr">
        <is>
          <t>実機</t>
        </is>
      </c>
      <c r="F1221" s="16" t="inlineStr">
        <is>
          <t>partner/src/pages/order/[eventId].vue</t>
        </is>
      </c>
      <c r="G1221" s="16" t="inlineStr">
        <is>
          <t>コード確認: partner アプリ(店舗管理画面): 店舗設定(配送範囲/最小注文数/営業時間/注文期限/複数メール)、メニュー・オプション管理(並び替え・売り切れ・限定食数・販売期間)、予約申請の承認/却下、注文一覧・詳細、お名前シートPDF。店舗主催イベントの作成画面(partner/src/pages/events/create.vue)はあるがナビ非掲載</t>
        </is>
      </c>
    </row>
    <row r="1222">
      <c r="A1222" s="16" t="inlineStr">
        <is>
          <t>自社</t>
        </is>
      </c>
      <c r="B1222" s="16" t="inlineStr">
        <is>
          <t>FD04</t>
        </is>
      </c>
      <c r="C1222" s="16" t="inlineStr">
        <is>
          <t>人数確定の店舗通知・集計</t>
        </is>
      </c>
      <c r="D1222" s="13" t="inlineStr">
        <is>
          <t>✅</t>
        </is>
      </c>
      <c r="E1222" s="16" t="inlineStr">
        <is>
          <t>実機</t>
        </is>
      </c>
      <c r="F1222" s="16" t="inlineStr">
        <is>
          <t>functions/default/src/orderDeadlineMail.ts</t>
        </is>
      </c>
      <c r="G1222" s="16" t="inlineStr">
        <is>
          <t>コード確認: 注文期限になると確定注文(参加者名・メニュー・金額の明細と合計個数/金額)を店舗へメール自動送信(sendOrderDeadlineMailToShop。期限1日前の予告も)、店舗画面でメニュー別小計・合計個数を集計表示。定員変更時の店舗通知は未実装(documents/04_飲食店向け/11_定員数変更時の店舗通知.md は空)。予約申請時の電話通知(Twilio)も未実装(Issue #1728)</t>
        </is>
      </c>
    </row>
    <row r="1223">
      <c r="A1223" s="16" t="inlineStr">
        <is>
          <t>自社</t>
        </is>
      </c>
      <c r="B1223" s="16" t="inlineStr">
        <is>
          <t>FD05</t>
        </is>
      </c>
      <c r="C1223" s="16" t="inlineStr">
        <is>
          <t>席の確保・貸切の連携</t>
        </is>
      </c>
      <c r="D1223" s="13" t="inlineStr">
        <is>
          <t>△</t>
        </is>
      </c>
      <c r="E1223" s="16" t="inlineStr">
        <is>
          <t>実機</t>
        </is>
      </c>
      <c r="F1223" s="16" t="inlineStr">
        <is>
          <t>partner/src/pages/order/[eventId].vue</t>
        </is>
      </c>
      <c r="G1223" s="16" t="inlineStr">
        <is>
          <t>一部実装(コード確認): イベントは店舗への『予約申請』→店舗が承認/却下(48時間以内、期限切れは自動却下・functions/default/src/rejectOrderMail.ts)して初めて注文受付開始=配達日時・枠の確保。席・個室・貸切の確保(部屋の予約台帳・最低保証料金)は未実装(documents/04_飲食店向け/04_イートイン.md §1.4 でスコープ外)。承認遅延対策のTwilio電話通知は仕様のみ(01_予約申請時のTwilio電話通知.md, Issue #1728)</t>
        </is>
      </c>
    </row>
    <row r="1224">
      <c r="A1224" s="16" t="inlineStr">
        <is>
          <t>自社</t>
        </is>
      </c>
      <c r="B1224" s="16" t="inlineStr">
        <is>
          <t>FD06</t>
        </is>
      </c>
      <c r="C1224" s="16" t="inlineStr">
        <is>
          <t>コース・固定メニュー</t>
        </is>
      </c>
      <c r="D1224" s="13" t="inlineStr">
        <is>
          <t>△</t>
        </is>
      </c>
      <c r="E1224" s="16" t="inlineStr">
        <is>
          <t>実機</t>
        </is>
      </c>
      <c r="F1224" s="16" t="inlineStr">
        <is>
          <t>base/src/components/eventcreate/EventMenu.vue</t>
        </is>
      </c>
      <c r="G1224" s="16" t="inlineStr">
        <is>
          <t>一部実装(コード確認): 弁当等の内容固定のメニューを1品単位で選べ、オプション(サイズ/トッピング)も付けられる。コース/プリフィクス(複数品の構成)の概念は未実装。計画: メニューリスト(時間帯・業態別のメニュー束)=Issue #537・documents/04_飲食店向け/03_複数店舗・複数メニューリスト.md(コースとは別概念)</t>
        </is>
      </c>
    </row>
    <row r="1225">
      <c r="A1225" s="16" t="inlineStr">
        <is>
          <t>自社</t>
        </is>
      </c>
      <c r="B1225" s="16" t="inlineStr">
        <is>
          <t>FD07</t>
        </is>
      </c>
      <c r="C1225" s="16" t="inlineStr">
        <is>
          <t>割り勘・個別会計</t>
        </is>
      </c>
      <c r="D1225" s="13" t="inlineStr">
        <is>
          <t>✅</t>
        </is>
      </c>
      <c r="E1225" s="16" t="inlineStr">
        <is>
          <t>実機</t>
        </is>
      </c>
      <c r="F1225" s="16" t="inlineStr">
        <is>
          <t>base/src/components/pages/cart.vue</t>
        </is>
      </c>
      <c r="G1225" s="16" t="inlineStr">
        <is>
          <t>コード確認: 参加者ごとに個別の注文・決済(Stripe Checkout: カード/Apple Pay/Google Pay/PayPay)と個別の領収書DL。主催者が全額/定額おごり→主催者に請求書払い。各自が自分の分だけ注文する設計で、1つの会計を按分する割り勘ツールはなし。当日払い(user_on_day)はUIから除外済み</t>
        </is>
      </c>
    </row>
    <row r="1226">
      <c r="A1226" s="16" t="inlineStr">
        <is>
          <t>自社</t>
        </is>
      </c>
      <c r="B1226" s="16" t="inlineStr">
        <is>
          <t>FD08</t>
        </is>
      </c>
      <c r="C1226" s="16" t="inlineStr">
        <is>
          <t>店探し・店選び支援</t>
        </is>
      </c>
      <c r="D1226" s="13" t="inlineStr">
        <is>
          <t>✅</t>
        </is>
      </c>
      <c r="E1226" s="16" t="inlineStr">
        <is>
          <t>実機</t>
        </is>
      </c>
      <c r="F1226" s="16" t="inlineStr">
        <is>
          <t>base/src/components/eventcreate/EventShop.vue</t>
        </is>
      </c>
      <c r="G1226" s="16" t="inlineStr">
        <is>
          <t>コード確認: 開催場所の郵便番号と開催日時から、配達可能・営業時間内の店舗一覧を表示し(common/src/utils/partnerShopDeliverable.ts)、店舗情報・注文最小個数・メニューを見比べて1店舗選択。店舗一覧/店舗公開ページ・評価での比較は未実装(Issue #963 飲食店一覧ページ・v2.15、12_SEO対策 P4-5 店舗公開ページ)。店舗リクエスト(#965)も未着手</t>
        </is>
      </c>
    </row>
    <row r="1227">
      <c r="A1227" s="16" t="inlineStr">
        <is>
          <t>自社</t>
        </is>
      </c>
      <c r="B1227" s="16" t="inlineStr">
        <is>
          <t>FD09</t>
        </is>
      </c>
      <c r="C1227" s="16" t="inlineStr">
        <is>
          <t>売り切れ・限定数の管理</t>
        </is>
      </c>
      <c r="D1227" s="13" t="inlineStr">
        <is>
          <t>✅</t>
        </is>
      </c>
      <c r="E1227" s="16" t="inlineStr">
        <is>
          <t>実機</t>
        </is>
      </c>
      <c r="F1227" s="16" t="inlineStr">
        <is>
          <t>functions/default/src/eventMenusSoldOutSync.ts</t>
        </is>
      </c>
      <c r="G1227" s="16" t="inlineStr">
        <is>
          <t>コード確認: 店舗が売り切れを切替→注文受付中の全イベントに数秒で反映(onPartnerMenuSoldOutChanged)、1イベントあたり限定食数の設定と残り食数表示・サーバー検証(common/src/utils/menuLimit.ts)、期間限定メニュー(販売期間)。1日あたり(複数イベント横断)の上限は Phase 2 未実装(documents/04_飲食店向け/14_限定食数機能.md)</t>
        </is>
      </c>
    </row>
    <row r="1228">
      <c r="A1228" s="16" t="inlineStr">
        <is>
          <t>自社</t>
        </is>
      </c>
      <c r="B1228" s="16" t="inlineStr">
        <is>
          <t>FD10</t>
        </is>
      </c>
      <c r="C1228" s="16" t="inlineStr">
        <is>
          <t>提供形態の選択</t>
        </is>
      </c>
      <c r="D1228" s="13" t="inlineStr">
        <is>
          <t>△</t>
        </is>
      </c>
      <c r="E1228" s="16" t="inlineStr">
        <is>
          <t>公式</t>
        </is>
      </c>
      <c r="F1228" s="16" t="inlineStr">
        <is>
          <t>documents/04_飲食店向け/04_イートイン.md</t>
        </is>
      </c>
      <c r="G1228" s="16" t="inlineStr">
        <is>
          <t>未実装(コード確認: 提供形態の選択項目なし。配送中心地・配送距離・配送時間の配達前提。画面文言に『一部イートイン/テイクアウトも選択可能』とあるがコード上の切替は確認できず)。計画: 仕様書あり 04_イートイン.md・05_テイクアウト.md・03_複数店舗・複数メニューリスト.md(業態 eatin/takeout は Phase 2)、Issue #537 メニューリスト機能(デリバリー・テイクアウト・イートイン)、#2327 お店向けチラシ。文書のみ</t>
        </is>
      </c>
    </row>
    <row r="1229">
      <c r="A1229" s="16" t="inlineStr">
        <is>
          <t>自社</t>
        </is>
      </c>
      <c r="B1229" s="16" t="inlineStr">
        <is>
          <t>MN01</t>
        </is>
      </c>
      <c r="C1229" s="16" t="inlineStr">
        <is>
          <t>手数料の明示</t>
        </is>
      </c>
      <c r="D1229" s="13" t="inlineStr">
        <is>
          <t>✅</t>
        </is>
      </c>
      <c r="E1229" s="16" t="inlineStr">
        <is>
          <t>実機</t>
        </is>
      </c>
      <c r="F1229" s="16" t="inlineStr">
        <is>
          <t>user/src/locales/messages/ja.ts</t>
        </is>
      </c>
      <c r="G1229" s="16" t="inlineStr">
        <is>
          <t>コード確認: トップ/ガイドに料金を明記(主催者利用料無料・請求書払い手数料10%・最小個数未満は配送料)、カートで決済前にシステム利用料(1決済あたり税込110円・自己負担がある場合のみ)を総額表示(PaymentFeeNoteButton.vue)、請求書に手数料明細、特商法ページ(terms/content/specified_commercial_transactions.md)。飲食店向け手数料は現行3.6%→13.6%へ引上げ予定(Issue #969・v2.15)</t>
        </is>
      </c>
    </row>
    <row r="1230">
      <c r="A1230" s="16" t="inlineStr">
        <is>
          <t>自社</t>
        </is>
      </c>
      <c r="B1230" s="16" t="inlineStr">
        <is>
          <t>MN02</t>
        </is>
      </c>
      <c r="C1230" s="16" t="inlineStr">
        <is>
          <t>主催者向け有料プラン</t>
        </is>
      </c>
      <c r="D1230" s="13" t="inlineStr">
        <is>
          <t>△</t>
        </is>
      </c>
      <c r="E1230" s="16" t="inlineStr">
        <is>
          <t>実機</t>
        </is>
      </c>
      <c r="F1230" s="16" t="inlineStr">
        <is>
          <t>functions/default/src/enterprise/billingSnapshots.ts</t>
        </is>
      </c>
      <c r="G1230" s="16" t="inlineStr">
        <is>
          <t>一部実装(コード確認): 法人向け(enterprise)にプラットフォーム利用料=有効アカウント数×単価の月額席課金を請求(請求スナップショット・月次請求書PDF enterpriseBillInvoice.ts, 仕様 08_エンタープライズ/10_仕様/03_課金.md)。契約・請求書ベースでセルフサーブのプラン購入UIはなし(1年契約化の検討 Issue #2275)。PF(個人主催者)向けの有料プラン/サブスクはなし(documents/01_マネタイズと決済/07_コーポレート向けのサブスク課金.md は見出しのみ)</t>
        </is>
      </c>
    </row>
    <row r="1231">
      <c r="A1231" s="16" t="inlineStr">
        <is>
          <t>自社</t>
        </is>
      </c>
      <c r="B1231" s="16" t="inlineStr">
        <is>
          <t>MN03</t>
        </is>
      </c>
      <c r="C1231" s="16" t="inlineStr">
        <is>
          <t>任意チップ・寄付</t>
        </is>
      </c>
      <c r="D1231" s="13" t="inlineStr">
        <is>
          <t>❌</t>
        </is>
      </c>
      <c r="E1231" s="16" t="inlineStr">
        <is>
          <t>実機</t>
        </is>
      </c>
      <c r="F1231" s="16" t="inlineStr">
        <is>
          <t>base/src/components/pages/cart.vue</t>
        </is>
      </c>
      <c r="G1231" s="16" t="inlineStr">
        <is>
          <t>コード確認(不在): チップ・寄付の上乗せなし(『おごり』は主催者が参加者の食事代を負担する機能で別物)。仕様・Issue・施策案なし</t>
        </is>
      </c>
    </row>
    <row r="1232">
      <c r="A1232" s="16" t="inlineStr">
        <is>
          <t>自社</t>
        </is>
      </c>
      <c r="B1232" s="16" t="inlineStr">
        <is>
          <t>MN04</t>
        </is>
      </c>
      <c r="C1232" s="16" t="inlineStr">
        <is>
          <t>クーポン・割引コード</t>
        </is>
      </c>
      <c r="D1232" s="13" t="inlineStr">
        <is>
          <t>△</t>
        </is>
      </c>
      <c r="E1232" s="16" t="inlineStr">
        <is>
          <t>実機</t>
        </is>
      </c>
      <c r="F1232" s="16" t="inlineStr">
        <is>
          <t>common/src/utils/paymentCommunityBillOffAmount.ts</t>
        </is>
      </c>
      <c r="G1232" s="16" t="inlineStr">
        <is>
          <t>一部実装(コード確認): 主催者『おごり』(全額 or 1個あたり定額を主催者負担、差額は参加者が事前決済)、エンプラの福利厚生割引(月次上限)。コード入力式クーポン・早割・先着割引は未実装(documents/01_マネタイズと決済/03_無料参加・割引参加・クーポン.md の Phase 2『クーポン』は仕様のみ。Issue #960 はクローズ=おごりまで)</t>
        </is>
      </c>
    </row>
    <row r="1233">
      <c r="A1233" s="16" t="inlineStr">
        <is>
          <t>自社</t>
        </is>
      </c>
      <c r="B1233" s="16" t="inlineStr">
        <is>
          <t>MN05</t>
        </is>
      </c>
      <c r="C1233" s="16" t="inlineStr">
        <is>
          <t>ポイント・会員特典</t>
        </is>
      </c>
      <c r="D1233" s="13" t="inlineStr">
        <is>
          <t>❌</t>
        </is>
      </c>
      <c r="E1233" s="16" t="inlineStr">
        <is>
          <t>実機</t>
        </is>
      </c>
      <c r="F1233" s="16" t="inlineStr">
        <is>
          <t>documents/03_参加者獲得/07_アチーブメント系機能.md</t>
        </is>
      </c>
      <c r="G1233" s="16" t="inlineStr">
        <is>
          <t>コード確認(不在): ポイント/ロイヤルティ/会員特典なし。近いもの: エンプラ版の福利厚生割引(企業負担の補助)は会員特典だがロイヤルティ施策ではない。バッジ/アチーブメント(Issue #968)は未着手で見出しのみ</t>
        </is>
      </c>
    </row>
  </sheetData>
  <autoFilter ref="A1:G1233"/>
  <conditionalFormatting sqref="D2:D1233">
    <cfRule type="cellIs" priority="1" operator="equal" dxfId="0">
      <formula>"✅"</formula>
    </cfRule>
    <cfRule type="cellIs" priority="2" operator="equal" dxfId="1">
      <formula>"△"</formula>
    </cfRule>
    <cfRule type="cellIs" priority="3" operator="equal" dxfId="2">
      <formula>"❌"</formula>
    </cfRule>
    <cfRule type="cellIs" priority="4" operator="equal" dxfId="3">
      <formula>"？"</formula>
    </cfRule>
  </conditionalFormatting>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8" r:id="rId15"/>
    <hyperlink xmlns:r="http://schemas.openxmlformats.org/officeDocument/2006/relationships" ref="F19" r:id="rId16"/>
    <hyperlink xmlns:r="http://schemas.openxmlformats.org/officeDocument/2006/relationships" ref="F20" r:id="rId17"/>
    <hyperlink xmlns:r="http://schemas.openxmlformats.org/officeDocument/2006/relationships" ref="F21" r:id="rId18"/>
    <hyperlink xmlns:r="http://schemas.openxmlformats.org/officeDocument/2006/relationships" ref="F22" r:id="rId19"/>
    <hyperlink xmlns:r="http://schemas.openxmlformats.org/officeDocument/2006/relationships" ref="F23" r:id="rId20"/>
    <hyperlink xmlns:r="http://schemas.openxmlformats.org/officeDocument/2006/relationships" ref="F25" r:id="rId21"/>
    <hyperlink xmlns:r="http://schemas.openxmlformats.org/officeDocument/2006/relationships" ref="F26" r:id="rId22"/>
    <hyperlink xmlns:r="http://schemas.openxmlformats.org/officeDocument/2006/relationships" ref="F27" r:id="rId23"/>
    <hyperlink xmlns:r="http://schemas.openxmlformats.org/officeDocument/2006/relationships" ref="F28" r:id="rId24"/>
    <hyperlink xmlns:r="http://schemas.openxmlformats.org/officeDocument/2006/relationships" ref="F29" r:id="rId25"/>
    <hyperlink xmlns:r="http://schemas.openxmlformats.org/officeDocument/2006/relationships" ref="F30" r:id="rId26"/>
    <hyperlink xmlns:r="http://schemas.openxmlformats.org/officeDocument/2006/relationships" ref="F31" r:id="rId27"/>
    <hyperlink xmlns:r="http://schemas.openxmlformats.org/officeDocument/2006/relationships" ref="F32" r:id="rId28"/>
    <hyperlink xmlns:r="http://schemas.openxmlformats.org/officeDocument/2006/relationships" ref="F33" r:id="rId29"/>
    <hyperlink xmlns:r="http://schemas.openxmlformats.org/officeDocument/2006/relationships" ref="F34" r:id="rId30"/>
    <hyperlink xmlns:r="http://schemas.openxmlformats.org/officeDocument/2006/relationships" ref="F35" r:id="rId31"/>
    <hyperlink xmlns:r="http://schemas.openxmlformats.org/officeDocument/2006/relationships" ref="F36" r:id="rId32"/>
    <hyperlink xmlns:r="http://schemas.openxmlformats.org/officeDocument/2006/relationships" ref="F37" r:id="rId33"/>
    <hyperlink xmlns:r="http://schemas.openxmlformats.org/officeDocument/2006/relationships" ref="F38" r:id="rId34"/>
    <hyperlink xmlns:r="http://schemas.openxmlformats.org/officeDocument/2006/relationships" ref="F39" r:id="rId35"/>
    <hyperlink xmlns:r="http://schemas.openxmlformats.org/officeDocument/2006/relationships" ref="F40" r:id="rId36"/>
    <hyperlink xmlns:r="http://schemas.openxmlformats.org/officeDocument/2006/relationships" ref="F41" r:id="rId37"/>
    <hyperlink xmlns:r="http://schemas.openxmlformats.org/officeDocument/2006/relationships" ref="F42" r:id="rId38"/>
    <hyperlink xmlns:r="http://schemas.openxmlformats.org/officeDocument/2006/relationships" ref="F43" r:id="rId39"/>
    <hyperlink xmlns:r="http://schemas.openxmlformats.org/officeDocument/2006/relationships" ref="F44" r:id="rId40"/>
    <hyperlink xmlns:r="http://schemas.openxmlformats.org/officeDocument/2006/relationships" ref="F45" r:id="rId41"/>
    <hyperlink xmlns:r="http://schemas.openxmlformats.org/officeDocument/2006/relationships" ref="F47" r:id="rId42"/>
    <hyperlink xmlns:r="http://schemas.openxmlformats.org/officeDocument/2006/relationships" ref="F48" r:id="rId43"/>
    <hyperlink xmlns:r="http://schemas.openxmlformats.org/officeDocument/2006/relationships" ref="F50" r:id="rId44"/>
    <hyperlink xmlns:r="http://schemas.openxmlformats.org/officeDocument/2006/relationships" ref="F52" r:id="rId45"/>
    <hyperlink xmlns:r="http://schemas.openxmlformats.org/officeDocument/2006/relationships" ref="F53" r:id="rId46"/>
    <hyperlink xmlns:r="http://schemas.openxmlformats.org/officeDocument/2006/relationships" ref="F54" r:id="rId47"/>
    <hyperlink xmlns:r="http://schemas.openxmlformats.org/officeDocument/2006/relationships" ref="F58" r:id="rId48"/>
    <hyperlink xmlns:r="http://schemas.openxmlformats.org/officeDocument/2006/relationships" ref="F59" r:id="rId49"/>
    <hyperlink xmlns:r="http://schemas.openxmlformats.org/officeDocument/2006/relationships" ref="F60" r:id="rId50"/>
    <hyperlink xmlns:r="http://schemas.openxmlformats.org/officeDocument/2006/relationships" ref="F61" r:id="rId51"/>
    <hyperlink xmlns:r="http://schemas.openxmlformats.org/officeDocument/2006/relationships" ref="F63" r:id="rId52"/>
    <hyperlink xmlns:r="http://schemas.openxmlformats.org/officeDocument/2006/relationships" ref="F64" r:id="rId53"/>
    <hyperlink xmlns:r="http://schemas.openxmlformats.org/officeDocument/2006/relationships" ref="F65" r:id="rId54"/>
    <hyperlink xmlns:r="http://schemas.openxmlformats.org/officeDocument/2006/relationships" ref="F66" r:id="rId55"/>
    <hyperlink xmlns:r="http://schemas.openxmlformats.org/officeDocument/2006/relationships" ref="F68" r:id="rId56"/>
    <hyperlink xmlns:r="http://schemas.openxmlformats.org/officeDocument/2006/relationships" ref="F72" r:id="rId57"/>
    <hyperlink xmlns:r="http://schemas.openxmlformats.org/officeDocument/2006/relationships" ref="F74" r:id="rId58"/>
    <hyperlink xmlns:r="http://schemas.openxmlformats.org/officeDocument/2006/relationships" ref="F75" r:id="rId59"/>
    <hyperlink xmlns:r="http://schemas.openxmlformats.org/officeDocument/2006/relationships" ref="F76" r:id="rId60"/>
    <hyperlink xmlns:r="http://schemas.openxmlformats.org/officeDocument/2006/relationships" ref="F77" r:id="rId61"/>
    <hyperlink xmlns:r="http://schemas.openxmlformats.org/officeDocument/2006/relationships" ref="F79" r:id="rId62"/>
    <hyperlink xmlns:r="http://schemas.openxmlformats.org/officeDocument/2006/relationships" ref="F80" r:id="rId63"/>
    <hyperlink xmlns:r="http://schemas.openxmlformats.org/officeDocument/2006/relationships" ref="F81" r:id="rId64"/>
    <hyperlink xmlns:r="http://schemas.openxmlformats.org/officeDocument/2006/relationships" ref="F82" r:id="rId65"/>
    <hyperlink xmlns:r="http://schemas.openxmlformats.org/officeDocument/2006/relationships" ref="F83" r:id="rId66"/>
    <hyperlink xmlns:r="http://schemas.openxmlformats.org/officeDocument/2006/relationships" ref="F84" r:id="rId67"/>
    <hyperlink xmlns:r="http://schemas.openxmlformats.org/officeDocument/2006/relationships" ref="F85" r:id="rId68"/>
    <hyperlink xmlns:r="http://schemas.openxmlformats.org/officeDocument/2006/relationships" ref="F86" r:id="rId69"/>
    <hyperlink xmlns:r="http://schemas.openxmlformats.org/officeDocument/2006/relationships" ref="F87" r:id="rId70"/>
    <hyperlink xmlns:r="http://schemas.openxmlformats.org/officeDocument/2006/relationships" ref="F88" r:id="rId71"/>
    <hyperlink xmlns:r="http://schemas.openxmlformats.org/officeDocument/2006/relationships" ref="F89" r:id="rId72"/>
    <hyperlink xmlns:r="http://schemas.openxmlformats.org/officeDocument/2006/relationships" ref="F90" r:id="rId73"/>
    <hyperlink xmlns:r="http://schemas.openxmlformats.org/officeDocument/2006/relationships" ref="F91" r:id="rId74"/>
    <hyperlink xmlns:r="http://schemas.openxmlformats.org/officeDocument/2006/relationships" ref="F92" r:id="rId75"/>
    <hyperlink xmlns:r="http://schemas.openxmlformats.org/officeDocument/2006/relationships" ref="F93" r:id="rId76"/>
    <hyperlink xmlns:r="http://schemas.openxmlformats.org/officeDocument/2006/relationships" ref="F94" r:id="rId77"/>
    <hyperlink xmlns:r="http://schemas.openxmlformats.org/officeDocument/2006/relationships" ref="F95" r:id="rId78"/>
    <hyperlink xmlns:r="http://schemas.openxmlformats.org/officeDocument/2006/relationships" ref="F96" r:id="rId79"/>
    <hyperlink xmlns:r="http://schemas.openxmlformats.org/officeDocument/2006/relationships" ref="F97" r:id="rId80"/>
    <hyperlink xmlns:r="http://schemas.openxmlformats.org/officeDocument/2006/relationships" ref="F98" r:id="rId81"/>
    <hyperlink xmlns:r="http://schemas.openxmlformats.org/officeDocument/2006/relationships" ref="F99" r:id="rId82"/>
    <hyperlink xmlns:r="http://schemas.openxmlformats.org/officeDocument/2006/relationships" ref="F100" r:id="rId83"/>
    <hyperlink xmlns:r="http://schemas.openxmlformats.org/officeDocument/2006/relationships" ref="F101" r:id="rId84"/>
    <hyperlink xmlns:r="http://schemas.openxmlformats.org/officeDocument/2006/relationships" ref="F104" r:id="rId85"/>
    <hyperlink xmlns:r="http://schemas.openxmlformats.org/officeDocument/2006/relationships" ref="F105" r:id="rId86"/>
    <hyperlink xmlns:r="http://schemas.openxmlformats.org/officeDocument/2006/relationships" ref="F106" r:id="rId87"/>
    <hyperlink xmlns:r="http://schemas.openxmlformats.org/officeDocument/2006/relationships" ref="F107" r:id="rId88"/>
    <hyperlink xmlns:r="http://schemas.openxmlformats.org/officeDocument/2006/relationships" ref="F108" r:id="rId89"/>
    <hyperlink xmlns:r="http://schemas.openxmlformats.org/officeDocument/2006/relationships" ref="F109" r:id="rId90"/>
    <hyperlink xmlns:r="http://schemas.openxmlformats.org/officeDocument/2006/relationships" ref="F110" r:id="rId91"/>
    <hyperlink xmlns:r="http://schemas.openxmlformats.org/officeDocument/2006/relationships" ref="F111" r:id="rId92"/>
    <hyperlink xmlns:r="http://schemas.openxmlformats.org/officeDocument/2006/relationships" ref="F112" r:id="rId93"/>
    <hyperlink xmlns:r="http://schemas.openxmlformats.org/officeDocument/2006/relationships" ref="F113" r:id="rId94"/>
    <hyperlink xmlns:r="http://schemas.openxmlformats.org/officeDocument/2006/relationships" ref="F114" r:id="rId95"/>
    <hyperlink xmlns:r="http://schemas.openxmlformats.org/officeDocument/2006/relationships" ref="F115" r:id="rId96"/>
    <hyperlink xmlns:r="http://schemas.openxmlformats.org/officeDocument/2006/relationships" ref="F116" r:id="rId97"/>
    <hyperlink xmlns:r="http://schemas.openxmlformats.org/officeDocument/2006/relationships" ref="F117" r:id="rId98"/>
    <hyperlink xmlns:r="http://schemas.openxmlformats.org/officeDocument/2006/relationships" ref="F118" r:id="rId99"/>
    <hyperlink xmlns:r="http://schemas.openxmlformats.org/officeDocument/2006/relationships" ref="F119" r:id="rId100"/>
    <hyperlink xmlns:r="http://schemas.openxmlformats.org/officeDocument/2006/relationships" ref="F120" r:id="rId101"/>
    <hyperlink xmlns:r="http://schemas.openxmlformats.org/officeDocument/2006/relationships" ref="F121" r:id="rId102"/>
    <hyperlink xmlns:r="http://schemas.openxmlformats.org/officeDocument/2006/relationships" ref="F124" r:id="rId103"/>
    <hyperlink xmlns:r="http://schemas.openxmlformats.org/officeDocument/2006/relationships" ref="F125" r:id="rId104"/>
    <hyperlink xmlns:r="http://schemas.openxmlformats.org/officeDocument/2006/relationships" ref="F127" r:id="rId105"/>
    <hyperlink xmlns:r="http://schemas.openxmlformats.org/officeDocument/2006/relationships" ref="F128" r:id="rId106"/>
    <hyperlink xmlns:r="http://schemas.openxmlformats.org/officeDocument/2006/relationships" ref="F129" r:id="rId107"/>
    <hyperlink xmlns:r="http://schemas.openxmlformats.org/officeDocument/2006/relationships" ref="F130" r:id="rId108"/>
    <hyperlink xmlns:r="http://schemas.openxmlformats.org/officeDocument/2006/relationships" ref="F131" r:id="rId109"/>
    <hyperlink xmlns:r="http://schemas.openxmlformats.org/officeDocument/2006/relationships" ref="F132" r:id="rId110"/>
    <hyperlink xmlns:r="http://schemas.openxmlformats.org/officeDocument/2006/relationships" ref="F133" r:id="rId111"/>
    <hyperlink xmlns:r="http://schemas.openxmlformats.org/officeDocument/2006/relationships" ref="F136" r:id="rId112"/>
    <hyperlink xmlns:r="http://schemas.openxmlformats.org/officeDocument/2006/relationships" ref="F137" r:id="rId113"/>
    <hyperlink xmlns:r="http://schemas.openxmlformats.org/officeDocument/2006/relationships" ref="F138" r:id="rId114"/>
    <hyperlink xmlns:r="http://schemas.openxmlformats.org/officeDocument/2006/relationships" ref="F139" r:id="rId115"/>
    <hyperlink xmlns:r="http://schemas.openxmlformats.org/officeDocument/2006/relationships" ref="F142" r:id="rId116"/>
    <hyperlink xmlns:r="http://schemas.openxmlformats.org/officeDocument/2006/relationships" ref="F149" r:id="rId117"/>
    <hyperlink xmlns:r="http://schemas.openxmlformats.org/officeDocument/2006/relationships" ref="F151" r:id="rId118"/>
    <hyperlink xmlns:r="http://schemas.openxmlformats.org/officeDocument/2006/relationships" ref="F152" r:id="rId119"/>
    <hyperlink xmlns:r="http://schemas.openxmlformats.org/officeDocument/2006/relationships" ref="F153" r:id="rId120"/>
    <hyperlink xmlns:r="http://schemas.openxmlformats.org/officeDocument/2006/relationships" ref="F155" r:id="rId121"/>
    <hyperlink xmlns:r="http://schemas.openxmlformats.org/officeDocument/2006/relationships" ref="F156" r:id="rId122"/>
    <hyperlink xmlns:r="http://schemas.openxmlformats.org/officeDocument/2006/relationships" ref="F157" r:id="rId123"/>
    <hyperlink xmlns:r="http://schemas.openxmlformats.org/officeDocument/2006/relationships" ref="F158" r:id="rId124"/>
    <hyperlink xmlns:r="http://schemas.openxmlformats.org/officeDocument/2006/relationships" ref="F159" r:id="rId125"/>
    <hyperlink xmlns:r="http://schemas.openxmlformats.org/officeDocument/2006/relationships" ref="F160" r:id="rId126"/>
    <hyperlink xmlns:r="http://schemas.openxmlformats.org/officeDocument/2006/relationships" ref="F161" r:id="rId127"/>
    <hyperlink xmlns:r="http://schemas.openxmlformats.org/officeDocument/2006/relationships" ref="F162" r:id="rId128"/>
    <hyperlink xmlns:r="http://schemas.openxmlformats.org/officeDocument/2006/relationships" ref="F163" r:id="rId129"/>
    <hyperlink xmlns:r="http://schemas.openxmlformats.org/officeDocument/2006/relationships" ref="F164" r:id="rId130"/>
    <hyperlink xmlns:r="http://schemas.openxmlformats.org/officeDocument/2006/relationships" ref="F165" r:id="rId131"/>
    <hyperlink xmlns:r="http://schemas.openxmlformats.org/officeDocument/2006/relationships" ref="F167" r:id="rId132"/>
    <hyperlink xmlns:r="http://schemas.openxmlformats.org/officeDocument/2006/relationships" ref="F168" r:id="rId133"/>
    <hyperlink xmlns:r="http://schemas.openxmlformats.org/officeDocument/2006/relationships" ref="F170" r:id="rId134"/>
    <hyperlink xmlns:r="http://schemas.openxmlformats.org/officeDocument/2006/relationships" ref="F172" r:id="rId135"/>
    <hyperlink xmlns:r="http://schemas.openxmlformats.org/officeDocument/2006/relationships" ref="F173" r:id="rId136"/>
    <hyperlink xmlns:r="http://schemas.openxmlformats.org/officeDocument/2006/relationships" ref="F174" r:id="rId137"/>
    <hyperlink xmlns:r="http://schemas.openxmlformats.org/officeDocument/2006/relationships" ref="F176" r:id="rId138"/>
    <hyperlink xmlns:r="http://schemas.openxmlformats.org/officeDocument/2006/relationships" ref="F177" r:id="rId139"/>
    <hyperlink xmlns:r="http://schemas.openxmlformats.org/officeDocument/2006/relationships" ref="F178" r:id="rId140"/>
    <hyperlink xmlns:r="http://schemas.openxmlformats.org/officeDocument/2006/relationships" ref="F179" r:id="rId141"/>
    <hyperlink xmlns:r="http://schemas.openxmlformats.org/officeDocument/2006/relationships" ref="F180" r:id="rId142"/>
    <hyperlink xmlns:r="http://schemas.openxmlformats.org/officeDocument/2006/relationships" ref="F181" r:id="rId143"/>
    <hyperlink xmlns:r="http://schemas.openxmlformats.org/officeDocument/2006/relationships" ref="F182" r:id="rId144"/>
    <hyperlink xmlns:r="http://schemas.openxmlformats.org/officeDocument/2006/relationships" ref="F183" r:id="rId145"/>
    <hyperlink xmlns:r="http://schemas.openxmlformats.org/officeDocument/2006/relationships" ref="F184" r:id="rId146"/>
    <hyperlink xmlns:r="http://schemas.openxmlformats.org/officeDocument/2006/relationships" ref="F186" r:id="rId147"/>
    <hyperlink xmlns:r="http://schemas.openxmlformats.org/officeDocument/2006/relationships" ref="F189" r:id="rId148"/>
    <hyperlink xmlns:r="http://schemas.openxmlformats.org/officeDocument/2006/relationships" ref="F190" r:id="rId149"/>
    <hyperlink xmlns:r="http://schemas.openxmlformats.org/officeDocument/2006/relationships" ref="F191" r:id="rId150"/>
    <hyperlink xmlns:r="http://schemas.openxmlformats.org/officeDocument/2006/relationships" ref="F192" r:id="rId151"/>
    <hyperlink xmlns:r="http://schemas.openxmlformats.org/officeDocument/2006/relationships" ref="F193" r:id="rId152"/>
    <hyperlink xmlns:r="http://schemas.openxmlformats.org/officeDocument/2006/relationships" ref="F194" r:id="rId153"/>
    <hyperlink xmlns:r="http://schemas.openxmlformats.org/officeDocument/2006/relationships" ref="F195" r:id="rId154"/>
    <hyperlink xmlns:r="http://schemas.openxmlformats.org/officeDocument/2006/relationships" ref="F198" r:id="rId155"/>
    <hyperlink xmlns:r="http://schemas.openxmlformats.org/officeDocument/2006/relationships" ref="F201" r:id="rId156"/>
    <hyperlink xmlns:r="http://schemas.openxmlformats.org/officeDocument/2006/relationships" ref="F202" r:id="rId157"/>
    <hyperlink xmlns:r="http://schemas.openxmlformats.org/officeDocument/2006/relationships" ref="F204" r:id="rId158"/>
    <hyperlink xmlns:r="http://schemas.openxmlformats.org/officeDocument/2006/relationships" ref="F206" r:id="rId159"/>
    <hyperlink xmlns:r="http://schemas.openxmlformats.org/officeDocument/2006/relationships" ref="F207" r:id="rId160"/>
    <hyperlink xmlns:r="http://schemas.openxmlformats.org/officeDocument/2006/relationships" ref="F210" r:id="rId161"/>
    <hyperlink xmlns:r="http://schemas.openxmlformats.org/officeDocument/2006/relationships" ref="F212" r:id="rId162"/>
    <hyperlink xmlns:r="http://schemas.openxmlformats.org/officeDocument/2006/relationships" ref="F215" r:id="rId163"/>
    <hyperlink xmlns:r="http://schemas.openxmlformats.org/officeDocument/2006/relationships" ref="F216" r:id="rId164"/>
    <hyperlink xmlns:r="http://schemas.openxmlformats.org/officeDocument/2006/relationships" ref="F217" r:id="rId165"/>
    <hyperlink xmlns:r="http://schemas.openxmlformats.org/officeDocument/2006/relationships" ref="F218" r:id="rId166"/>
    <hyperlink xmlns:r="http://schemas.openxmlformats.org/officeDocument/2006/relationships" ref="F220" r:id="rId167"/>
    <hyperlink xmlns:r="http://schemas.openxmlformats.org/officeDocument/2006/relationships" ref="F226" r:id="rId168"/>
    <hyperlink xmlns:r="http://schemas.openxmlformats.org/officeDocument/2006/relationships" ref="F228" r:id="rId169"/>
    <hyperlink xmlns:r="http://schemas.openxmlformats.org/officeDocument/2006/relationships" ref="F230" r:id="rId170"/>
    <hyperlink xmlns:r="http://schemas.openxmlformats.org/officeDocument/2006/relationships" ref="F231" r:id="rId171"/>
    <hyperlink xmlns:r="http://schemas.openxmlformats.org/officeDocument/2006/relationships" ref="F232" r:id="rId172"/>
    <hyperlink xmlns:r="http://schemas.openxmlformats.org/officeDocument/2006/relationships" ref="F233" r:id="rId173"/>
    <hyperlink xmlns:r="http://schemas.openxmlformats.org/officeDocument/2006/relationships" ref="F236" r:id="rId174"/>
    <hyperlink xmlns:r="http://schemas.openxmlformats.org/officeDocument/2006/relationships" ref="F239" r:id="rId175"/>
    <hyperlink xmlns:r="http://schemas.openxmlformats.org/officeDocument/2006/relationships" ref="F241" r:id="rId176"/>
    <hyperlink xmlns:r="http://schemas.openxmlformats.org/officeDocument/2006/relationships" ref="F242" r:id="rId177"/>
    <hyperlink xmlns:r="http://schemas.openxmlformats.org/officeDocument/2006/relationships" ref="F244" r:id="rId178"/>
    <hyperlink xmlns:r="http://schemas.openxmlformats.org/officeDocument/2006/relationships" ref="F246" r:id="rId179"/>
    <hyperlink xmlns:r="http://schemas.openxmlformats.org/officeDocument/2006/relationships" ref="F247" r:id="rId180"/>
    <hyperlink xmlns:r="http://schemas.openxmlformats.org/officeDocument/2006/relationships" ref="F248" r:id="rId181"/>
    <hyperlink xmlns:r="http://schemas.openxmlformats.org/officeDocument/2006/relationships" ref="F249" r:id="rId182"/>
    <hyperlink xmlns:r="http://schemas.openxmlformats.org/officeDocument/2006/relationships" ref="F250" r:id="rId183"/>
    <hyperlink xmlns:r="http://schemas.openxmlformats.org/officeDocument/2006/relationships" ref="F252" r:id="rId184"/>
    <hyperlink xmlns:r="http://schemas.openxmlformats.org/officeDocument/2006/relationships" ref="F253" r:id="rId185"/>
    <hyperlink xmlns:r="http://schemas.openxmlformats.org/officeDocument/2006/relationships" ref="F254" r:id="rId186"/>
    <hyperlink xmlns:r="http://schemas.openxmlformats.org/officeDocument/2006/relationships" ref="F256" r:id="rId187"/>
    <hyperlink xmlns:r="http://schemas.openxmlformats.org/officeDocument/2006/relationships" ref="F259" r:id="rId188"/>
    <hyperlink xmlns:r="http://schemas.openxmlformats.org/officeDocument/2006/relationships" ref="F260" r:id="rId189"/>
    <hyperlink xmlns:r="http://schemas.openxmlformats.org/officeDocument/2006/relationships" ref="F261" r:id="rId190"/>
    <hyperlink xmlns:r="http://schemas.openxmlformats.org/officeDocument/2006/relationships" ref="F262" r:id="rId191"/>
    <hyperlink xmlns:r="http://schemas.openxmlformats.org/officeDocument/2006/relationships" ref="F263" r:id="rId192"/>
    <hyperlink xmlns:r="http://schemas.openxmlformats.org/officeDocument/2006/relationships" ref="F264" r:id="rId193"/>
    <hyperlink xmlns:r="http://schemas.openxmlformats.org/officeDocument/2006/relationships" ref="F265" r:id="rId194"/>
    <hyperlink xmlns:r="http://schemas.openxmlformats.org/officeDocument/2006/relationships" ref="F266" r:id="rId195"/>
    <hyperlink xmlns:r="http://schemas.openxmlformats.org/officeDocument/2006/relationships" ref="F267" r:id="rId196"/>
    <hyperlink xmlns:r="http://schemas.openxmlformats.org/officeDocument/2006/relationships" ref="F268" r:id="rId197"/>
    <hyperlink xmlns:r="http://schemas.openxmlformats.org/officeDocument/2006/relationships" ref="F269" r:id="rId198"/>
    <hyperlink xmlns:r="http://schemas.openxmlformats.org/officeDocument/2006/relationships" ref="F270" r:id="rId199"/>
    <hyperlink xmlns:r="http://schemas.openxmlformats.org/officeDocument/2006/relationships" ref="F271" r:id="rId200"/>
    <hyperlink xmlns:r="http://schemas.openxmlformats.org/officeDocument/2006/relationships" ref="F272" r:id="rId201"/>
    <hyperlink xmlns:r="http://schemas.openxmlformats.org/officeDocument/2006/relationships" ref="F273" r:id="rId202"/>
    <hyperlink xmlns:r="http://schemas.openxmlformats.org/officeDocument/2006/relationships" ref="F274" r:id="rId203"/>
    <hyperlink xmlns:r="http://schemas.openxmlformats.org/officeDocument/2006/relationships" ref="F275" r:id="rId204"/>
    <hyperlink xmlns:r="http://schemas.openxmlformats.org/officeDocument/2006/relationships" ref="F276" r:id="rId205"/>
    <hyperlink xmlns:r="http://schemas.openxmlformats.org/officeDocument/2006/relationships" ref="F277" r:id="rId206"/>
    <hyperlink xmlns:r="http://schemas.openxmlformats.org/officeDocument/2006/relationships" ref="F278" r:id="rId207"/>
    <hyperlink xmlns:r="http://schemas.openxmlformats.org/officeDocument/2006/relationships" ref="F281" r:id="rId208"/>
    <hyperlink xmlns:r="http://schemas.openxmlformats.org/officeDocument/2006/relationships" ref="F283" r:id="rId209"/>
    <hyperlink xmlns:r="http://schemas.openxmlformats.org/officeDocument/2006/relationships" ref="F284" r:id="rId210"/>
    <hyperlink xmlns:r="http://schemas.openxmlformats.org/officeDocument/2006/relationships" ref="F292" r:id="rId211"/>
    <hyperlink xmlns:r="http://schemas.openxmlformats.org/officeDocument/2006/relationships" ref="F295" r:id="rId212"/>
    <hyperlink xmlns:r="http://schemas.openxmlformats.org/officeDocument/2006/relationships" ref="F296" r:id="rId213"/>
    <hyperlink xmlns:r="http://schemas.openxmlformats.org/officeDocument/2006/relationships" ref="F297" r:id="rId214"/>
    <hyperlink xmlns:r="http://schemas.openxmlformats.org/officeDocument/2006/relationships" ref="F299" r:id="rId215"/>
    <hyperlink xmlns:r="http://schemas.openxmlformats.org/officeDocument/2006/relationships" ref="F303" r:id="rId216"/>
    <hyperlink xmlns:r="http://schemas.openxmlformats.org/officeDocument/2006/relationships" ref="F305" r:id="rId217"/>
    <hyperlink xmlns:r="http://schemas.openxmlformats.org/officeDocument/2006/relationships" ref="F306" r:id="rId218"/>
    <hyperlink xmlns:r="http://schemas.openxmlformats.org/officeDocument/2006/relationships" ref="F307" r:id="rId219"/>
    <hyperlink xmlns:r="http://schemas.openxmlformats.org/officeDocument/2006/relationships" ref="F308" r:id="rId220"/>
    <hyperlink xmlns:r="http://schemas.openxmlformats.org/officeDocument/2006/relationships" ref="F309" r:id="rId221"/>
    <hyperlink xmlns:r="http://schemas.openxmlformats.org/officeDocument/2006/relationships" ref="F310" r:id="rId222"/>
    <hyperlink xmlns:r="http://schemas.openxmlformats.org/officeDocument/2006/relationships" ref="F311" r:id="rId223"/>
    <hyperlink xmlns:r="http://schemas.openxmlformats.org/officeDocument/2006/relationships" ref="F312" r:id="rId224"/>
    <hyperlink xmlns:r="http://schemas.openxmlformats.org/officeDocument/2006/relationships" ref="F313" r:id="rId225"/>
    <hyperlink xmlns:r="http://schemas.openxmlformats.org/officeDocument/2006/relationships" ref="F314" r:id="rId226"/>
    <hyperlink xmlns:r="http://schemas.openxmlformats.org/officeDocument/2006/relationships" ref="F316" r:id="rId227"/>
    <hyperlink xmlns:r="http://schemas.openxmlformats.org/officeDocument/2006/relationships" ref="F317" r:id="rId228"/>
    <hyperlink xmlns:r="http://schemas.openxmlformats.org/officeDocument/2006/relationships" ref="F318" r:id="rId229"/>
    <hyperlink xmlns:r="http://schemas.openxmlformats.org/officeDocument/2006/relationships" ref="F319" r:id="rId230"/>
    <hyperlink xmlns:r="http://schemas.openxmlformats.org/officeDocument/2006/relationships" ref="F320" r:id="rId231"/>
    <hyperlink xmlns:r="http://schemas.openxmlformats.org/officeDocument/2006/relationships" ref="F321" r:id="rId232"/>
    <hyperlink xmlns:r="http://schemas.openxmlformats.org/officeDocument/2006/relationships" ref="F323" r:id="rId233"/>
    <hyperlink xmlns:r="http://schemas.openxmlformats.org/officeDocument/2006/relationships" ref="F324" r:id="rId234"/>
    <hyperlink xmlns:r="http://schemas.openxmlformats.org/officeDocument/2006/relationships" ref="F325" r:id="rId235"/>
    <hyperlink xmlns:r="http://schemas.openxmlformats.org/officeDocument/2006/relationships" ref="F326" r:id="rId236"/>
    <hyperlink xmlns:r="http://schemas.openxmlformats.org/officeDocument/2006/relationships" ref="F327" r:id="rId237"/>
    <hyperlink xmlns:r="http://schemas.openxmlformats.org/officeDocument/2006/relationships" ref="F328" r:id="rId238"/>
    <hyperlink xmlns:r="http://schemas.openxmlformats.org/officeDocument/2006/relationships" ref="F329" r:id="rId239"/>
    <hyperlink xmlns:r="http://schemas.openxmlformats.org/officeDocument/2006/relationships" ref="F330" r:id="rId240"/>
    <hyperlink xmlns:r="http://schemas.openxmlformats.org/officeDocument/2006/relationships" ref="F331" r:id="rId241"/>
    <hyperlink xmlns:r="http://schemas.openxmlformats.org/officeDocument/2006/relationships" ref="F332" r:id="rId242"/>
    <hyperlink xmlns:r="http://schemas.openxmlformats.org/officeDocument/2006/relationships" ref="F333" r:id="rId243"/>
    <hyperlink xmlns:r="http://schemas.openxmlformats.org/officeDocument/2006/relationships" ref="F334" r:id="rId244"/>
    <hyperlink xmlns:r="http://schemas.openxmlformats.org/officeDocument/2006/relationships" ref="F335" r:id="rId245"/>
    <hyperlink xmlns:r="http://schemas.openxmlformats.org/officeDocument/2006/relationships" ref="F336" r:id="rId246"/>
    <hyperlink xmlns:r="http://schemas.openxmlformats.org/officeDocument/2006/relationships" ref="F337" r:id="rId247"/>
    <hyperlink xmlns:r="http://schemas.openxmlformats.org/officeDocument/2006/relationships" ref="F338" r:id="rId248"/>
    <hyperlink xmlns:r="http://schemas.openxmlformats.org/officeDocument/2006/relationships" ref="F339" r:id="rId249"/>
    <hyperlink xmlns:r="http://schemas.openxmlformats.org/officeDocument/2006/relationships" ref="F340" r:id="rId250"/>
    <hyperlink xmlns:r="http://schemas.openxmlformats.org/officeDocument/2006/relationships" ref="F342" r:id="rId251"/>
    <hyperlink xmlns:r="http://schemas.openxmlformats.org/officeDocument/2006/relationships" ref="F343" r:id="rId252"/>
    <hyperlink xmlns:r="http://schemas.openxmlformats.org/officeDocument/2006/relationships" ref="F344" r:id="rId253"/>
    <hyperlink xmlns:r="http://schemas.openxmlformats.org/officeDocument/2006/relationships" ref="F345" r:id="rId254"/>
    <hyperlink xmlns:r="http://schemas.openxmlformats.org/officeDocument/2006/relationships" ref="F346" r:id="rId255"/>
    <hyperlink xmlns:r="http://schemas.openxmlformats.org/officeDocument/2006/relationships" ref="F347" r:id="rId256"/>
    <hyperlink xmlns:r="http://schemas.openxmlformats.org/officeDocument/2006/relationships" ref="F348" r:id="rId257"/>
    <hyperlink xmlns:r="http://schemas.openxmlformats.org/officeDocument/2006/relationships" ref="F349" r:id="rId258"/>
    <hyperlink xmlns:r="http://schemas.openxmlformats.org/officeDocument/2006/relationships" ref="F350" r:id="rId259"/>
    <hyperlink xmlns:r="http://schemas.openxmlformats.org/officeDocument/2006/relationships" ref="F351" r:id="rId260"/>
    <hyperlink xmlns:r="http://schemas.openxmlformats.org/officeDocument/2006/relationships" ref="F352" r:id="rId261"/>
    <hyperlink xmlns:r="http://schemas.openxmlformats.org/officeDocument/2006/relationships" ref="F353" r:id="rId262"/>
    <hyperlink xmlns:r="http://schemas.openxmlformats.org/officeDocument/2006/relationships" ref="F355" r:id="rId263"/>
    <hyperlink xmlns:r="http://schemas.openxmlformats.org/officeDocument/2006/relationships" ref="F356" r:id="rId264"/>
    <hyperlink xmlns:r="http://schemas.openxmlformats.org/officeDocument/2006/relationships" ref="F358" r:id="rId265"/>
    <hyperlink xmlns:r="http://schemas.openxmlformats.org/officeDocument/2006/relationships" ref="F359" r:id="rId266"/>
    <hyperlink xmlns:r="http://schemas.openxmlformats.org/officeDocument/2006/relationships" ref="F360" r:id="rId267"/>
    <hyperlink xmlns:r="http://schemas.openxmlformats.org/officeDocument/2006/relationships" ref="F361" r:id="rId268"/>
    <hyperlink xmlns:r="http://schemas.openxmlformats.org/officeDocument/2006/relationships" ref="F362" r:id="rId269"/>
    <hyperlink xmlns:r="http://schemas.openxmlformats.org/officeDocument/2006/relationships" ref="F363" r:id="rId270"/>
    <hyperlink xmlns:r="http://schemas.openxmlformats.org/officeDocument/2006/relationships" ref="F364" r:id="rId271"/>
    <hyperlink xmlns:r="http://schemas.openxmlformats.org/officeDocument/2006/relationships" ref="F366" r:id="rId272"/>
    <hyperlink xmlns:r="http://schemas.openxmlformats.org/officeDocument/2006/relationships" ref="F367" r:id="rId273"/>
    <hyperlink xmlns:r="http://schemas.openxmlformats.org/officeDocument/2006/relationships" ref="F368" r:id="rId274"/>
    <hyperlink xmlns:r="http://schemas.openxmlformats.org/officeDocument/2006/relationships" ref="F369" r:id="rId275"/>
    <hyperlink xmlns:r="http://schemas.openxmlformats.org/officeDocument/2006/relationships" ref="F370" r:id="rId276"/>
    <hyperlink xmlns:r="http://schemas.openxmlformats.org/officeDocument/2006/relationships" ref="F371" r:id="rId277"/>
    <hyperlink xmlns:r="http://schemas.openxmlformats.org/officeDocument/2006/relationships" ref="F372" r:id="rId278"/>
    <hyperlink xmlns:r="http://schemas.openxmlformats.org/officeDocument/2006/relationships" ref="F373" r:id="rId279"/>
    <hyperlink xmlns:r="http://schemas.openxmlformats.org/officeDocument/2006/relationships" ref="F380" r:id="rId280"/>
    <hyperlink xmlns:r="http://schemas.openxmlformats.org/officeDocument/2006/relationships" ref="F382" r:id="rId281"/>
    <hyperlink xmlns:r="http://schemas.openxmlformats.org/officeDocument/2006/relationships" ref="F383" r:id="rId282"/>
    <hyperlink xmlns:r="http://schemas.openxmlformats.org/officeDocument/2006/relationships" ref="F384" r:id="rId283"/>
    <hyperlink xmlns:r="http://schemas.openxmlformats.org/officeDocument/2006/relationships" ref="F385" r:id="rId284"/>
    <hyperlink xmlns:r="http://schemas.openxmlformats.org/officeDocument/2006/relationships" ref="F386" r:id="rId285"/>
    <hyperlink xmlns:r="http://schemas.openxmlformats.org/officeDocument/2006/relationships" ref="F388" r:id="rId286"/>
    <hyperlink xmlns:r="http://schemas.openxmlformats.org/officeDocument/2006/relationships" ref="F390" r:id="rId287"/>
    <hyperlink xmlns:r="http://schemas.openxmlformats.org/officeDocument/2006/relationships" ref="F392" r:id="rId288"/>
    <hyperlink xmlns:r="http://schemas.openxmlformats.org/officeDocument/2006/relationships" ref="F393" r:id="rId289"/>
    <hyperlink xmlns:r="http://schemas.openxmlformats.org/officeDocument/2006/relationships" ref="F394" r:id="rId290"/>
    <hyperlink xmlns:r="http://schemas.openxmlformats.org/officeDocument/2006/relationships" ref="F395" r:id="rId291"/>
    <hyperlink xmlns:r="http://schemas.openxmlformats.org/officeDocument/2006/relationships" ref="F396" r:id="rId292"/>
    <hyperlink xmlns:r="http://schemas.openxmlformats.org/officeDocument/2006/relationships" ref="F397" r:id="rId293"/>
    <hyperlink xmlns:r="http://schemas.openxmlformats.org/officeDocument/2006/relationships" ref="F398" r:id="rId294"/>
    <hyperlink xmlns:r="http://schemas.openxmlformats.org/officeDocument/2006/relationships" ref="F400" r:id="rId295"/>
    <hyperlink xmlns:r="http://schemas.openxmlformats.org/officeDocument/2006/relationships" ref="F401" r:id="rId296"/>
    <hyperlink xmlns:r="http://schemas.openxmlformats.org/officeDocument/2006/relationships" ref="F402" r:id="rId297"/>
    <hyperlink xmlns:r="http://schemas.openxmlformats.org/officeDocument/2006/relationships" ref="F403" r:id="rId298"/>
    <hyperlink xmlns:r="http://schemas.openxmlformats.org/officeDocument/2006/relationships" ref="F404" r:id="rId299"/>
    <hyperlink xmlns:r="http://schemas.openxmlformats.org/officeDocument/2006/relationships" ref="F405" r:id="rId300"/>
    <hyperlink xmlns:r="http://schemas.openxmlformats.org/officeDocument/2006/relationships" ref="F406" r:id="rId301"/>
    <hyperlink xmlns:r="http://schemas.openxmlformats.org/officeDocument/2006/relationships" ref="F407" r:id="rId302"/>
    <hyperlink xmlns:r="http://schemas.openxmlformats.org/officeDocument/2006/relationships" ref="F408" r:id="rId303"/>
    <hyperlink xmlns:r="http://schemas.openxmlformats.org/officeDocument/2006/relationships" ref="F409" r:id="rId304"/>
    <hyperlink xmlns:r="http://schemas.openxmlformats.org/officeDocument/2006/relationships" ref="F411" r:id="rId305"/>
    <hyperlink xmlns:r="http://schemas.openxmlformats.org/officeDocument/2006/relationships" ref="F412" r:id="rId306"/>
    <hyperlink xmlns:r="http://schemas.openxmlformats.org/officeDocument/2006/relationships" ref="F413" r:id="rId307"/>
    <hyperlink xmlns:r="http://schemas.openxmlformats.org/officeDocument/2006/relationships" ref="F415" r:id="rId308"/>
    <hyperlink xmlns:r="http://schemas.openxmlformats.org/officeDocument/2006/relationships" ref="F416" r:id="rId309"/>
    <hyperlink xmlns:r="http://schemas.openxmlformats.org/officeDocument/2006/relationships" ref="F417" r:id="rId310"/>
    <hyperlink xmlns:r="http://schemas.openxmlformats.org/officeDocument/2006/relationships" ref="F419" r:id="rId311"/>
    <hyperlink xmlns:r="http://schemas.openxmlformats.org/officeDocument/2006/relationships" ref="F420" r:id="rId312"/>
    <hyperlink xmlns:r="http://schemas.openxmlformats.org/officeDocument/2006/relationships" ref="F421" r:id="rId313"/>
    <hyperlink xmlns:r="http://schemas.openxmlformats.org/officeDocument/2006/relationships" ref="F422" r:id="rId314"/>
    <hyperlink xmlns:r="http://schemas.openxmlformats.org/officeDocument/2006/relationships" ref="F423" r:id="rId315"/>
    <hyperlink xmlns:r="http://schemas.openxmlformats.org/officeDocument/2006/relationships" ref="F424" r:id="rId316"/>
    <hyperlink xmlns:r="http://schemas.openxmlformats.org/officeDocument/2006/relationships" ref="F425" r:id="rId317"/>
    <hyperlink xmlns:r="http://schemas.openxmlformats.org/officeDocument/2006/relationships" ref="F426" r:id="rId318"/>
    <hyperlink xmlns:r="http://schemas.openxmlformats.org/officeDocument/2006/relationships" ref="F427" r:id="rId319"/>
    <hyperlink xmlns:r="http://schemas.openxmlformats.org/officeDocument/2006/relationships" ref="F428" r:id="rId320"/>
    <hyperlink xmlns:r="http://schemas.openxmlformats.org/officeDocument/2006/relationships" ref="F429" r:id="rId321"/>
    <hyperlink xmlns:r="http://schemas.openxmlformats.org/officeDocument/2006/relationships" ref="F432" r:id="rId322"/>
    <hyperlink xmlns:r="http://schemas.openxmlformats.org/officeDocument/2006/relationships" ref="F436" r:id="rId323"/>
    <hyperlink xmlns:r="http://schemas.openxmlformats.org/officeDocument/2006/relationships" ref="F437" r:id="rId324"/>
    <hyperlink xmlns:r="http://schemas.openxmlformats.org/officeDocument/2006/relationships" ref="F438" r:id="rId325"/>
    <hyperlink xmlns:r="http://schemas.openxmlformats.org/officeDocument/2006/relationships" ref="F439" r:id="rId326"/>
    <hyperlink xmlns:r="http://schemas.openxmlformats.org/officeDocument/2006/relationships" ref="F441" r:id="rId327"/>
    <hyperlink xmlns:r="http://schemas.openxmlformats.org/officeDocument/2006/relationships" ref="F443" r:id="rId328"/>
    <hyperlink xmlns:r="http://schemas.openxmlformats.org/officeDocument/2006/relationships" ref="F445" r:id="rId329"/>
    <hyperlink xmlns:r="http://schemas.openxmlformats.org/officeDocument/2006/relationships" ref="F446" r:id="rId330"/>
    <hyperlink xmlns:r="http://schemas.openxmlformats.org/officeDocument/2006/relationships" ref="F447" r:id="rId331"/>
    <hyperlink xmlns:r="http://schemas.openxmlformats.org/officeDocument/2006/relationships" ref="F448" r:id="rId332"/>
    <hyperlink xmlns:r="http://schemas.openxmlformats.org/officeDocument/2006/relationships" ref="F449" r:id="rId333"/>
    <hyperlink xmlns:r="http://schemas.openxmlformats.org/officeDocument/2006/relationships" ref="F450" r:id="rId334"/>
    <hyperlink xmlns:r="http://schemas.openxmlformats.org/officeDocument/2006/relationships" ref="F455" r:id="rId335"/>
    <hyperlink xmlns:r="http://schemas.openxmlformats.org/officeDocument/2006/relationships" ref="F457" r:id="rId336"/>
    <hyperlink xmlns:r="http://schemas.openxmlformats.org/officeDocument/2006/relationships" ref="F459" r:id="rId337"/>
    <hyperlink xmlns:r="http://schemas.openxmlformats.org/officeDocument/2006/relationships" ref="F460" r:id="rId338"/>
    <hyperlink xmlns:r="http://schemas.openxmlformats.org/officeDocument/2006/relationships" ref="F461" r:id="rId339"/>
    <hyperlink xmlns:r="http://schemas.openxmlformats.org/officeDocument/2006/relationships" ref="F462" r:id="rId340"/>
    <hyperlink xmlns:r="http://schemas.openxmlformats.org/officeDocument/2006/relationships" ref="F464" r:id="rId341"/>
    <hyperlink xmlns:r="http://schemas.openxmlformats.org/officeDocument/2006/relationships" ref="F465" r:id="rId342"/>
    <hyperlink xmlns:r="http://schemas.openxmlformats.org/officeDocument/2006/relationships" ref="F466" r:id="rId343"/>
    <hyperlink xmlns:r="http://schemas.openxmlformats.org/officeDocument/2006/relationships" ref="F467" r:id="rId344"/>
    <hyperlink xmlns:r="http://schemas.openxmlformats.org/officeDocument/2006/relationships" ref="F468" r:id="rId345"/>
    <hyperlink xmlns:r="http://schemas.openxmlformats.org/officeDocument/2006/relationships" ref="F469" r:id="rId346"/>
    <hyperlink xmlns:r="http://schemas.openxmlformats.org/officeDocument/2006/relationships" ref="F470" r:id="rId347"/>
    <hyperlink xmlns:r="http://schemas.openxmlformats.org/officeDocument/2006/relationships" ref="F471" r:id="rId348"/>
    <hyperlink xmlns:r="http://schemas.openxmlformats.org/officeDocument/2006/relationships" ref="F472" r:id="rId349"/>
    <hyperlink xmlns:r="http://schemas.openxmlformats.org/officeDocument/2006/relationships" ref="F473" r:id="rId350"/>
    <hyperlink xmlns:r="http://schemas.openxmlformats.org/officeDocument/2006/relationships" ref="F474" r:id="rId351"/>
    <hyperlink xmlns:r="http://schemas.openxmlformats.org/officeDocument/2006/relationships" ref="F475" r:id="rId352"/>
    <hyperlink xmlns:r="http://schemas.openxmlformats.org/officeDocument/2006/relationships" ref="F477" r:id="rId353"/>
    <hyperlink xmlns:r="http://schemas.openxmlformats.org/officeDocument/2006/relationships" ref="F478" r:id="rId354"/>
    <hyperlink xmlns:r="http://schemas.openxmlformats.org/officeDocument/2006/relationships" ref="F479" r:id="rId355"/>
    <hyperlink xmlns:r="http://schemas.openxmlformats.org/officeDocument/2006/relationships" ref="F480" r:id="rId356"/>
    <hyperlink xmlns:r="http://schemas.openxmlformats.org/officeDocument/2006/relationships" ref="F481" r:id="rId357"/>
    <hyperlink xmlns:r="http://schemas.openxmlformats.org/officeDocument/2006/relationships" ref="F482" r:id="rId358"/>
    <hyperlink xmlns:r="http://schemas.openxmlformats.org/officeDocument/2006/relationships" ref="F483" r:id="rId359"/>
    <hyperlink xmlns:r="http://schemas.openxmlformats.org/officeDocument/2006/relationships" ref="F484" r:id="rId360"/>
    <hyperlink xmlns:r="http://schemas.openxmlformats.org/officeDocument/2006/relationships" ref="F485" r:id="rId361"/>
    <hyperlink xmlns:r="http://schemas.openxmlformats.org/officeDocument/2006/relationships" ref="F486" r:id="rId362"/>
    <hyperlink xmlns:r="http://schemas.openxmlformats.org/officeDocument/2006/relationships" ref="F487" r:id="rId363"/>
    <hyperlink xmlns:r="http://schemas.openxmlformats.org/officeDocument/2006/relationships" ref="F488" r:id="rId364"/>
    <hyperlink xmlns:r="http://schemas.openxmlformats.org/officeDocument/2006/relationships" ref="F489" r:id="rId365"/>
    <hyperlink xmlns:r="http://schemas.openxmlformats.org/officeDocument/2006/relationships" ref="F490" r:id="rId366"/>
    <hyperlink xmlns:r="http://schemas.openxmlformats.org/officeDocument/2006/relationships" ref="F491" r:id="rId367"/>
    <hyperlink xmlns:r="http://schemas.openxmlformats.org/officeDocument/2006/relationships" ref="F492" r:id="rId368"/>
    <hyperlink xmlns:r="http://schemas.openxmlformats.org/officeDocument/2006/relationships" ref="F493" r:id="rId369"/>
    <hyperlink xmlns:r="http://schemas.openxmlformats.org/officeDocument/2006/relationships" ref="F494" r:id="rId370"/>
    <hyperlink xmlns:r="http://schemas.openxmlformats.org/officeDocument/2006/relationships" ref="F496" r:id="rId371"/>
    <hyperlink xmlns:r="http://schemas.openxmlformats.org/officeDocument/2006/relationships" ref="F497" r:id="rId372"/>
    <hyperlink xmlns:r="http://schemas.openxmlformats.org/officeDocument/2006/relationships" ref="F498" r:id="rId373"/>
    <hyperlink xmlns:r="http://schemas.openxmlformats.org/officeDocument/2006/relationships" ref="F499" r:id="rId374"/>
    <hyperlink xmlns:r="http://schemas.openxmlformats.org/officeDocument/2006/relationships" ref="F500" r:id="rId375"/>
    <hyperlink xmlns:r="http://schemas.openxmlformats.org/officeDocument/2006/relationships" ref="F501" r:id="rId376"/>
    <hyperlink xmlns:r="http://schemas.openxmlformats.org/officeDocument/2006/relationships" ref="F502" r:id="rId377"/>
    <hyperlink xmlns:r="http://schemas.openxmlformats.org/officeDocument/2006/relationships" ref="F503" r:id="rId378"/>
    <hyperlink xmlns:r="http://schemas.openxmlformats.org/officeDocument/2006/relationships" ref="F505" r:id="rId379"/>
    <hyperlink xmlns:r="http://schemas.openxmlformats.org/officeDocument/2006/relationships" ref="F506" r:id="rId380"/>
    <hyperlink xmlns:r="http://schemas.openxmlformats.org/officeDocument/2006/relationships" ref="F507" r:id="rId381"/>
    <hyperlink xmlns:r="http://schemas.openxmlformats.org/officeDocument/2006/relationships" ref="F508" r:id="rId382"/>
    <hyperlink xmlns:r="http://schemas.openxmlformats.org/officeDocument/2006/relationships" ref="F509" r:id="rId383"/>
    <hyperlink xmlns:r="http://schemas.openxmlformats.org/officeDocument/2006/relationships" ref="F510" r:id="rId384"/>
    <hyperlink xmlns:r="http://schemas.openxmlformats.org/officeDocument/2006/relationships" ref="F513" r:id="rId385"/>
    <hyperlink xmlns:r="http://schemas.openxmlformats.org/officeDocument/2006/relationships" ref="F514" r:id="rId386"/>
    <hyperlink xmlns:r="http://schemas.openxmlformats.org/officeDocument/2006/relationships" ref="F515" r:id="rId387"/>
    <hyperlink xmlns:r="http://schemas.openxmlformats.org/officeDocument/2006/relationships" ref="F516" r:id="rId388"/>
    <hyperlink xmlns:r="http://schemas.openxmlformats.org/officeDocument/2006/relationships" ref="F518" r:id="rId389"/>
    <hyperlink xmlns:r="http://schemas.openxmlformats.org/officeDocument/2006/relationships" ref="F520" r:id="rId390"/>
    <hyperlink xmlns:r="http://schemas.openxmlformats.org/officeDocument/2006/relationships" ref="F521" r:id="rId391"/>
    <hyperlink xmlns:r="http://schemas.openxmlformats.org/officeDocument/2006/relationships" ref="F522" r:id="rId392"/>
    <hyperlink xmlns:r="http://schemas.openxmlformats.org/officeDocument/2006/relationships" ref="F523" r:id="rId393"/>
    <hyperlink xmlns:r="http://schemas.openxmlformats.org/officeDocument/2006/relationships" ref="F524" r:id="rId394"/>
    <hyperlink xmlns:r="http://schemas.openxmlformats.org/officeDocument/2006/relationships" ref="F525" r:id="rId395"/>
    <hyperlink xmlns:r="http://schemas.openxmlformats.org/officeDocument/2006/relationships" ref="F526" r:id="rId396"/>
    <hyperlink xmlns:r="http://schemas.openxmlformats.org/officeDocument/2006/relationships" ref="F527" r:id="rId397"/>
    <hyperlink xmlns:r="http://schemas.openxmlformats.org/officeDocument/2006/relationships" ref="F530" r:id="rId398"/>
    <hyperlink xmlns:r="http://schemas.openxmlformats.org/officeDocument/2006/relationships" ref="F531" r:id="rId399"/>
    <hyperlink xmlns:r="http://schemas.openxmlformats.org/officeDocument/2006/relationships" ref="F534" r:id="rId400"/>
    <hyperlink xmlns:r="http://schemas.openxmlformats.org/officeDocument/2006/relationships" ref="F536" r:id="rId401"/>
    <hyperlink xmlns:r="http://schemas.openxmlformats.org/officeDocument/2006/relationships" ref="F539" r:id="rId402"/>
    <hyperlink xmlns:r="http://schemas.openxmlformats.org/officeDocument/2006/relationships" ref="F540" r:id="rId403"/>
    <hyperlink xmlns:r="http://schemas.openxmlformats.org/officeDocument/2006/relationships" ref="F541" r:id="rId404"/>
    <hyperlink xmlns:r="http://schemas.openxmlformats.org/officeDocument/2006/relationships" ref="F542" r:id="rId405"/>
    <hyperlink xmlns:r="http://schemas.openxmlformats.org/officeDocument/2006/relationships" ref="F543" r:id="rId406"/>
    <hyperlink xmlns:r="http://schemas.openxmlformats.org/officeDocument/2006/relationships" ref="F544" r:id="rId407"/>
    <hyperlink xmlns:r="http://schemas.openxmlformats.org/officeDocument/2006/relationships" ref="F545" r:id="rId408"/>
    <hyperlink xmlns:r="http://schemas.openxmlformats.org/officeDocument/2006/relationships" ref="F546" r:id="rId409"/>
    <hyperlink xmlns:r="http://schemas.openxmlformats.org/officeDocument/2006/relationships" ref="F547" r:id="rId410"/>
    <hyperlink xmlns:r="http://schemas.openxmlformats.org/officeDocument/2006/relationships" ref="F548" r:id="rId411"/>
    <hyperlink xmlns:r="http://schemas.openxmlformats.org/officeDocument/2006/relationships" ref="F549" r:id="rId412"/>
    <hyperlink xmlns:r="http://schemas.openxmlformats.org/officeDocument/2006/relationships" ref="F550" r:id="rId413"/>
    <hyperlink xmlns:r="http://schemas.openxmlformats.org/officeDocument/2006/relationships" ref="F551" r:id="rId414"/>
    <hyperlink xmlns:r="http://schemas.openxmlformats.org/officeDocument/2006/relationships" ref="F554" r:id="rId415"/>
    <hyperlink xmlns:r="http://schemas.openxmlformats.org/officeDocument/2006/relationships" ref="F555" r:id="rId416"/>
    <hyperlink xmlns:r="http://schemas.openxmlformats.org/officeDocument/2006/relationships" ref="F556" r:id="rId417"/>
    <hyperlink xmlns:r="http://schemas.openxmlformats.org/officeDocument/2006/relationships" ref="F557" r:id="rId418"/>
    <hyperlink xmlns:r="http://schemas.openxmlformats.org/officeDocument/2006/relationships" ref="F558" r:id="rId419"/>
    <hyperlink xmlns:r="http://schemas.openxmlformats.org/officeDocument/2006/relationships" ref="F559" r:id="rId420"/>
    <hyperlink xmlns:r="http://schemas.openxmlformats.org/officeDocument/2006/relationships" ref="F560" r:id="rId421"/>
    <hyperlink xmlns:r="http://schemas.openxmlformats.org/officeDocument/2006/relationships" ref="F561" r:id="rId422"/>
    <hyperlink xmlns:r="http://schemas.openxmlformats.org/officeDocument/2006/relationships" ref="F562" r:id="rId423"/>
    <hyperlink xmlns:r="http://schemas.openxmlformats.org/officeDocument/2006/relationships" ref="F563" r:id="rId424"/>
    <hyperlink xmlns:r="http://schemas.openxmlformats.org/officeDocument/2006/relationships" ref="F566" r:id="rId425"/>
    <hyperlink xmlns:r="http://schemas.openxmlformats.org/officeDocument/2006/relationships" ref="F567" r:id="rId426"/>
    <hyperlink xmlns:r="http://schemas.openxmlformats.org/officeDocument/2006/relationships" ref="F568" r:id="rId427"/>
    <hyperlink xmlns:r="http://schemas.openxmlformats.org/officeDocument/2006/relationships" ref="F569" r:id="rId428"/>
    <hyperlink xmlns:r="http://schemas.openxmlformats.org/officeDocument/2006/relationships" ref="F570" r:id="rId429"/>
    <hyperlink xmlns:r="http://schemas.openxmlformats.org/officeDocument/2006/relationships" ref="F571" r:id="rId430"/>
    <hyperlink xmlns:r="http://schemas.openxmlformats.org/officeDocument/2006/relationships" ref="F573" r:id="rId431"/>
    <hyperlink xmlns:r="http://schemas.openxmlformats.org/officeDocument/2006/relationships" ref="F574" r:id="rId432"/>
    <hyperlink xmlns:r="http://schemas.openxmlformats.org/officeDocument/2006/relationships" ref="F575" r:id="rId433"/>
    <hyperlink xmlns:r="http://schemas.openxmlformats.org/officeDocument/2006/relationships" ref="F576" r:id="rId434"/>
    <hyperlink xmlns:r="http://schemas.openxmlformats.org/officeDocument/2006/relationships" ref="F577" r:id="rId435"/>
    <hyperlink xmlns:r="http://schemas.openxmlformats.org/officeDocument/2006/relationships" ref="F578" r:id="rId436"/>
    <hyperlink xmlns:r="http://schemas.openxmlformats.org/officeDocument/2006/relationships" ref="F579" r:id="rId437"/>
    <hyperlink xmlns:r="http://schemas.openxmlformats.org/officeDocument/2006/relationships" ref="F580" r:id="rId438"/>
    <hyperlink xmlns:r="http://schemas.openxmlformats.org/officeDocument/2006/relationships" ref="F581" r:id="rId439"/>
    <hyperlink xmlns:r="http://schemas.openxmlformats.org/officeDocument/2006/relationships" ref="F583" r:id="rId440"/>
    <hyperlink xmlns:r="http://schemas.openxmlformats.org/officeDocument/2006/relationships" ref="F584" r:id="rId441"/>
    <hyperlink xmlns:r="http://schemas.openxmlformats.org/officeDocument/2006/relationships" ref="F586" r:id="rId442"/>
    <hyperlink xmlns:r="http://schemas.openxmlformats.org/officeDocument/2006/relationships" ref="F587" r:id="rId443"/>
    <hyperlink xmlns:r="http://schemas.openxmlformats.org/officeDocument/2006/relationships" ref="F588" r:id="rId444"/>
    <hyperlink xmlns:r="http://schemas.openxmlformats.org/officeDocument/2006/relationships" ref="F589" r:id="rId445"/>
    <hyperlink xmlns:r="http://schemas.openxmlformats.org/officeDocument/2006/relationships" ref="F590" r:id="rId446"/>
    <hyperlink xmlns:r="http://schemas.openxmlformats.org/officeDocument/2006/relationships" ref="F592" r:id="rId447"/>
    <hyperlink xmlns:r="http://schemas.openxmlformats.org/officeDocument/2006/relationships" ref="F595" r:id="rId448"/>
    <hyperlink xmlns:r="http://schemas.openxmlformats.org/officeDocument/2006/relationships" ref="F598" r:id="rId449"/>
    <hyperlink xmlns:r="http://schemas.openxmlformats.org/officeDocument/2006/relationships" ref="F599" r:id="rId450"/>
    <hyperlink xmlns:r="http://schemas.openxmlformats.org/officeDocument/2006/relationships" ref="F600" r:id="rId451"/>
    <hyperlink xmlns:r="http://schemas.openxmlformats.org/officeDocument/2006/relationships" ref="F601" r:id="rId452"/>
    <hyperlink xmlns:r="http://schemas.openxmlformats.org/officeDocument/2006/relationships" ref="F603" r:id="rId453"/>
    <hyperlink xmlns:r="http://schemas.openxmlformats.org/officeDocument/2006/relationships" ref="F604" r:id="rId454"/>
    <hyperlink xmlns:r="http://schemas.openxmlformats.org/officeDocument/2006/relationships" ref="F608" r:id="rId455"/>
    <hyperlink xmlns:r="http://schemas.openxmlformats.org/officeDocument/2006/relationships" ref="F611" r:id="rId456"/>
    <hyperlink xmlns:r="http://schemas.openxmlformats.org/officeDocument/2006/relationships" ref="F613" r:id="rId457"/>
    <hyperlink xmlns:r="http://schemas.openxmlformats.org/officeDocument/2006/relationships" ref="F614" r:id="rId458"/>
    <hyperlink xmlns:r="http://schemas.openxmlformats.org/officeDocument/2006/relationships" ref="F616" r:id="rId459"/>
    <hyperlink xmlns:r="http://schemas.openxmlformats.org/officeDocument/2006/relationships" ref="F617" r:id="rId460"/>
    <hyperlink xmlns:r="http://schemas.openxmlformats.org/officeDocument/2006/relationships" ref="F618" r:id="rId461"/>
    <hyperlink xmlns:r="http://schemas.openxmlformats.org/officeDocument/2006/relationships" ref="F619" r:id="rId462"/>
    <hyperlink xmlns:r="http://schemas.openxmlformats.org/officeDocument/2006/relationships" ref="F620" r:id="rId463"/>
    <hyperlink xmlns:r="http://schemas.openxmlformats.org/officeDocument/2006/relationships" ref="F621" r:id="rId464"/>
    <hyperlink xmlns:r="http://schemas.openxmlformats.org/officeDocument/2006/relationships" ref="F622" r:id="rId465"/>
    <hyperlink xmlns:r="http://schemas.openxmlformats.org/officeDocument/2006/relationships" ref="F624" r:id="rId466"/>
    <hyperlink xmlns:r="http://schemas.openxmlformats.org/officeDocument/2006/relationships" ref="F625" r:id="rId467"/>
    <hyperlink xmlns:r="http://schemas.openxmlformats.org/officeDocument/2006/relationships" ref="F626" r:id="rId468"/>
    <hyperlink xmlns:r="http://schemas.openxmlformats.org/officeDocument/2006/relationships" ref="F627" r:id="rId469"/>
    <hyperlink xmlns:r="http://schemas.openxmlformats.org/officeDocument/2006/relationships" ref="F628" r:id="rId470"/>
    <hyperlink xmlns:r="http://schemas.openxmlformats.org/officeDocument/2006/relationships" ref="F629" r:id="rId471"/>
    <hyperlink xmlns:r="http://schemas.openxmlformats.org/officeDocument/2006/relationships" ref="F630" r:id="rId472"/>
    <hyperlink xmlns:r="http://schemas.openxmlformats.org/officeDocument/2006/relationships" ref="F631" r:id="rId473"/>
    <hyperlink xmlns:r="http://schemas.openxmlformats.org/officeDocument/2006/relationships" ref="F632" r:id="rId474"/>
    <hyperlink xmlns:r="http://schemas.openxmlformats.org/officeDocument/2006/relationships" ref="F633" r:id="rId475"/>
    <hyperlink xmlns:r="http://schemas.openxmlformats.org/officeDocument/2006/relationships" ref="F634" r:id="rId476"/>
    <hyperlink xmlns:r="http://schemas.openxmlformats.org/officeDocument/2006/relationships" ref="F635" r:id="rId477"/>
    <hyperlink xmlns:r="http://schemas.openxmlformats.org/officeDocument/2006/relationships" ref="F636" r:id="rId478"/>
    <hyperlink xmlns:r="http://schemas.openxmlformats.org/officeDocument/2006/relationships" ref="F637" r:id="rId479"/>
    <hyperlink xmlns:r="http://schemas.openxmlformats.org/officeDocument/2006/relationships" ref="F638" r:id="rId480"/>
    <hyperlink xmlns:r="http://schemas.openxmlformats.org/officeDocument/2006/relationships" ref="F639" r:id="rId481"/>
    <hyperlink xmlns:r="http://schemas.openxmlformats.org/officeDocument/2006/relationships" ref="F640" r:id="rId482"/>
    <hyperlink xmlns:r="http://schemas.openxmlformats.org/officeDocument/2006/relationships" ref="F641" r:id="rId483"/>
    <hyperlink xmlns:r="http://schemas.openxmlformats.org/officeDocument/2006/relationships" ref="F643" r:id="rId484"/>
    <hyperlink xmlns:r="http://schemas.openxmlformats.org/officeDocument/2006/relationships" ref="F645" r:id="rId485"/>
    <hyperlink xmlns:r="http://schemas.openxmlformats.org/officeDocument/2006/relationships" ref="F646" r:id="rId486"/>
    <hyperlink xmlns:r="http://schemas.openxmlformats.org/officeDocument/2006/relationships" ref="F647" r:id="rId487"/>
    <hyperlink xmlns:r="http://schemas.openxmlformats.org/officeDocument/2006/relationships" ref="F648" r:id="rId488"/>
    <hyperlink xmlns:r="http://schemas.openxmlformats.org/officeDocument/2006/relationships" ref="F650" r:id="rId489"/>
    <hyperlink xmlns:r="http://schemas.openxmlformats.org/officeDocument/2006/relationships" ref="F651" r:id="rId490"/>
    <hyperlink xmlns:r="http://schemas.openxmlformats.org/officeDocument/2006/relationships" ref="F652" r:id="rId491"/>
    <hyperlink xmlns:r="http://schemas.openxmlformats.org/officeDocument/2006/relationships" ref="F653" r:id="rId492"/>
    <hyperlink xmlns:r="http://schemas.openxmlformats.org/officeDocument/2006/relationships" ref="F654" r:id="rId493"/>
    <hyperlink xmlns:r="http://schemas.openxmlformats.org/officeDocument/2006/relationships" ref="F655" r:id="rId494"/>
    <hyperlink xmlns:r="http://schemas.openxmlformats.org/officeDocument/2006/relationships" ref="F656" r:id="rId495"/>
    <hyperlink xmlns:r="http://schemas.openxmlformats.org/officeDocument/2006/relationships" ref="F657" r:id="rId496"/>
    <hyperlink xmlns:r="http://schemas.openxmlformats.org/officeDocument/2006/relationships" ref="F658" r:id="rId497"/>
    <hyperlink xmlns:r="http://schemas.openxmlformats.org/officeDocument/2006/relationships" ref="F660" r:id="rId498"/>
    <hyperlink xmlns:r="http://schemas.openxmlformats.org/officeDocument/2006/relationships" ref="F661" r:id="rId499"/>
    <hyperlink xmlns:r="http://schemas.openxmlformats.org/officeDocument/2006/relationships" ref="F663" r:id="rId500"/>
    <hyperlink xmlns:r="http://schemas.openxmlformats.org/officeDocument/2006/relationships" ref="F664" r:id="rId501"/>
    <hyperlink xmlns:r="http://schemas.openxmlformats.org/officeDocument/2006/relationships" ref="F666" r:id="rId502"/>
    <hyperlink xmlns:r="http://schemas.openxmlformats.org/officeDocument/2006/relationships" ref="F667" r:id="rId503"/>
    <hyperlink xmlns:r="http://schemas.openxmlformats.org/officeDocument/2006/relationships" ref="F669" r:id="rId504"/>
    <hyperlink xmlns:r="http://schemas.openxmlformats.org/officeDocument/2006/relationships" ref="F672" r:id="rId505"/>
    <hyperlink xmlns:r="http://schemas.openxmlformats.org/officeDocument/2006/relationships" ref="F675" r:id="rId506"/>
    <hyperlink xmlns:r="http://schemas.openxmlformats.org/officeDocument/2006/relationships" ref="F676" r:id="rId507"/>
    <hyperlink xmlns:r="http://schemas.openxmlformats.org/officeDocument/2006/relationships" ref="F677" r:id="rId508"/>
    <hyperlink xmlns:r="http://schemas.openxmlformats.org/officeDocument/2006/relationships" ref="F678" r:id="rId509"/>
    <hyperlink xmlns:r="http://schemas.openxmlformats.org/officeDocument/2006/relationships" ref="F680" r:id="rId510"/>
    <hyperlink xmlns:r="http://schemas.openxmlformats.org/officeDocument/2006/relationships" ref="F681" r:id="rId511"/>
    <hyperlink xmlns:r="http://schemas.openxmlformats.org/officeDocument/2006/relationships" ref="F685" r:id="rId512"/>
    <hyperlink xmlns:r="http://schemas.openxmlformats.org/officeDocument/2006/relationships" ref="F687" r:id="rId513"/>
    <hyperlink xmlns:r="http://schemas.openxmlformats.org/officeDocument/2006/relationships" ref="F688" r:id="rId514"/>
    <hyperlink xmlns:r="http://schemas.openxmlformats.org/officeDocument/2006/relationships" ref="F690" r:id="rId515"/>
    <hyperlink xmlns:r="http://schemas.openxmlformats.org/officeDocument/2006/relationships" ref="F691" r:id="rId516"/>
    <hyperlink xmlns:r="http://schemas.openxmlformats.org/officeDocument/2006/relationships" ref="F692" r:id="rId517"/>
    <hyperlink xmlns:r="http://schemas.openxmlformats.org/officeDocument/2006/relationships" ref="F693" r:id="rId518"/>
    <hyperlink xmlns:r="http://schemas.openxmlformats.org/officeDocument/2006/relationships" ref="F694" r:id="rId519"/>
    <hyperlink xmlns:r="http://schemas.openxmlformats.org/officeDocument/2006/relationships" ref="F695" r:id="rId520"/>
    <hyperlink xmlns:r="http://schemas.openxmlformats.org/officeDocument/2006/relationships" ref="F696" r:id="rId521"/>
    <hyperlink xmlns:r="http://schemas.openxmlformats.org/officeDocument/2006/relationships" ref="F697" r:id="rId522"/>
    <hyperlink xmlns:r="http://schemas.openxmlformats.org/officeDocument/2006/relationships" ref="F698" r:id="rId523"/>
    <hyperlink xmlns:r="http://schemas.openxmlformats.org/officeDocument/2006/relationships" ref="F699" r:id="rId524"/>
    <hyperlink xmlns:r="http://schemas.openxmlformats.org/officeDocument/2006/relationships" ref="F700" r:id="rId525"/>
    <hyperlink xmlns:r="http://schemas.openxmlformats.org/officeDocument/2006/relationships" ref="F701" r:id="rId526"/>
    <hyperlink xmlns:r="http://schemas.openxmlformats.org/officeDocument/2006/relationships" ref="F702" r:id="rId527"/>
    <hyperlink xmlns:r="http://schemas.openxmlformats.org/officeDocument/2006/relationships" ref="F703" r:id="rId528"/>
    <hyperlink xmlns:r="http://schemas.openxmlformats.org/officeDocument/2006/relationships" ref="F704" r:id="rId529"/>
    <hyperlink xmlns:r="http://schemas.openxmlformats.org/officeDocument/2006/relationships" ref="F705" r:id="rId530"/>
    <hyperlink xmlns:r="http://schemas.openxmlformats.org/officeDocument/2006/relationships" ref="F706" r:id="rId531"/>
    <hyperlink xmlns:r="http://schemas.openxmlformats.org/officeDocument/2006/relationships" ref="F707" r:id="rId532"/>
    <hyperlink xmlns:r="http://schemas.openxmlformats.org/officeDocument/2006/relationships" ref="F708" r:id="rId533"/>
    <hyperlink xmlns:r="http://schemas.openxmlformats.org/officeDocument/2006/relationships" ref="F709" r:id="rId534"/>
    <hyperlink xmlns:r="http://schemas.openxmlformats.org/officeDocument/2006/relationships" ref="F710" r:id="rId535"/>
    <hyperlink xmlns:r="http://schemas.openxmlformats.org/officeDocument/2006/relationships" ref="F711" r:id="rId536"/>
    <hyperlink xmlns:r="http://schemas.openxmlformats.org/officeDocument/2006/relationships" ref="F712" r:id="rId537"/>
    <hyperlink xmlns:r="http://schemas.openxmlformats.org/officeDocument/2006/relationships" ref="F713" r:id="rId538"/>
    <hyperlink xmlns:r="http://schemas.openxmlformats.org/officeDocument/2006/relationships" ref="F714" r:id="rId539"/>
    <hyperlink xmlns:r="http://schemas.openxmlformats.org/officeDocument/2006/relationships" ref="F715" r:id="rId540"/>
    <hyperlink xmlns:r="http://schemas.openxmlformats.org/officeDocument/2006/relationships" ref="F716" r:id="rId541"/>
    <hyperlink xmlns:r="http://schemas.openxmlformats.org/officeDocument/2006/relationships" ref="F717" r:id="rId542"/>
    <hyperlink xmlns:r="http://schemas.openxmlformats.org/officeDocument/2006/relationships" ref="F719" r:id="rId543"/>
    <hyperlink xmlns:r="http://schemas.openxmlformats.org/officeDocument/2006/relationships" ref="F720" r:id="rId544"/>
    <hyperlink xmlns:r="http://schemas.openxmlformats.org/officeDocument/2006/relationships" ref="F723" r:id="rId545"/>
    <hyperlink xmlns:r="http://schemas.openxmlformats.org/officeDocument/2006/relationships" ref="F724" r:id="rId546"/>
    <hyperlink xmlns:r="http://schemas.openxmlformats.org/officeDocument/2006/relationships" ref="F725" r:id="rId547"/>
    <hyperlink xmlns:r="http://schemas.openxmlformats.org/officeDocument/2006/relationships" ref="F727" r:id="rId548"/>
    <hyperlink xmlns:r="http://schemas.openxmlformats.org/officeDocument/2006/relationships" ref="F728" r:id="rId549"/>
    <hyperlink xmlns:r="http://schemas.openxmlformats.org/officeDocument/2006/relationships" ref="F729" r:id="rId550"/>
    <hyperlink xmlns:r="http://schemas.openxmlformats.org/officeDocument/2006/relationships" ref="F730" r:id="rId551"/>
    <hyperlink xmlns:r="http://schemas.openxmlformats.org/officeDocument/2006/relationships" ref="F731" r:id="rId552"/>
    <hyperlink xmlns:r="http://schemas.openxmlformats.org/officeDocument/2006/relationships" ref="F732" r:id="rId553"/>
    <hyperlink xmlns:r="http://schemas.openxmlformats.org/officeDocument/2006/relationships" ref="F733" r:id="rId554"/>
    <hyperlink xmlns:r="http://schemas.openxmlformats.org/officeDocument/2006/relationships" ref="F734" r:id="rId555"/>
    <hyperlink xmlns:r="http://schemas.openxmlformats.org/officeDocument/2006/relationships" ref="F735" r:id="rId556"/>
    <hyperlink xmlns:r="http://schemas.openxmlformats.org/officeDocument/2006/relationships" ref="F737" r:id="rId557"/>
    <hyperlink xmlns:r="http://schemas.openxmlformats.org/officeDocument/2006/relationships" ref="F740" r:id="rId558"/>
    <hyperlink xmlns:r="http://schemas.openxmlformats.org/officeDocument/2006/relationships" ref="F741" r:id="rId559"/>
    <hyperlink xmlns:r="http://schemas.openxmlformats.org/officeDocument/2006/relationships" ref="F742" r:id="rId560"/>
    <hyperlink xmlns:r="http://schemas.openxmlformats.org/officeDocument/2006/relationships" ref="F743" r:id="rId561"/>
    <hyperlink xmlns:r="http://schemas.openxmlformats.org/officeDocument/2006/relationships" ref="F744" r:id="rId562"/>
    <hyperlink xmlns:r="http://schemas.openxmlformats.org/officeDocument/2006/relationships" ref="F745" r:id="rId563"/>
    <hyperlink xmlns:r="http://schemas.openxmlformats.org/officeDocument/2006/relationships" ref="F746" r:id="rId564"/>
    <hyperlink xmlns:r="http://schemas.openxmlformats.org/officeDocument/2006/relationships" ref="F747" r:id="rId565"/>
    <hyperlink xmlns:r="http://schemas.openxmlformats.org/officeDocument/2006/relationships" ref="F749" r:id="rId566"/>
    <hyperlink xmlns:r="http://schemas.openxmlformats.org/officeDocument/2006/relationships" ref="F751" r:id="rId567"/>
    <hyperlink xmlns:r="http://schemas.openxmlformats.org/officeDocument/2006/relationships" ref="F752" r:id="rId568"/>
    <hyperlink xmlns:r="http://schemas.openxmlformats.org/officeDocument/2006/relationships" ref="F753" r:id="rId569"/>
    <hyperlink xmlns:r="http://schemas.openxmlformats.org/officeDocument/2006/relationships" ref="F754" r:id="rId570"/>
    <hyperlink xmlns:r="http://schemas.openxmlformats.org/officeDocument/2006/relationships" ref="F755" r:id="rId571"/>
    <hyperlink xmlns:r="http://schemas.openxmlformats.org/officeDocument/2006/relationships" ref="F756" r:id="rId572"/>
    <hyperlink xmlns:r="http://schemas.openxmlformats.org/officeDocument/2006/relationships" ref="F758" r:id="rId573"/>
    <hyperlink xmlns:r="http://schemas.openxmlformats.org/officeDocument/2006/relationships" ref="F767" r:id="rId574"/>
    <hyperlink xmlns:r="http://schemas.openxmlformats.org/officeDocument/2006/relationships" ref="F768" r:id="rId575"/>
    <hyperlink xmlns:r="http://schemas.openxmlformats.org/officeDocument/2006/relationships" ref="F770" r:id="rId576"/>
    <hyperlink xmlns:r="http://schemas.openxmlformats.org/officeDocument/2006/relationships" ref="F772" r:id="rId577"/>
    <hyperlink xmlns:r="http://schemas.openxmlformats.org/officeDocument/2006/relationships" ref="F773" r:id="rId578"/>
    <hyperlink xmlns:r="http://schemas.openxmlformats.org/officeDocument/2006/relationships" ref="F774" r:id="rId579"/>
    <hyperlink xmlns:r="http://schemas.openxmlformats.org/officeDocument/2006/relationships" ref="F775" r:id="rId580"/>
    <hyperlink xmlns:r="http://schemas.openxmlformats.org/officeDocument/2006/relationships" ref="F776" r:id="rId581"/>
    <hyperlink xmlns:r="http://schemas.openxmlformats.org/officeDocument/2006/relationships" ref="F777" r:id="rId582"/>
    <hyperlink xmlns:r="http://schemas.openxmlformats.org/officeDocument/2006/relationships" ref="F778" r:id="rId583"/>
    <hyperlink xmlns:r="http://schemas.openxmlformats.org/officeDocument/2006/relationships" ref="F779" r:id="rId584"/>
    <hyperlink xmlns:r="http://schemas.openxmlformats.org/officeDocument/2006/relationships" ref="F780" r:id="rId585"/>
    <hyperlink xmlns:r="http://schemas.openxmlformats.org/officeDocument/2006/relationships" ref="F781" r:id="rId586"/>
    <hyperlink xmlns:r="http://schemas.openxmlformats.org/officeDocument/2006/relationships" ref="F782" r:id="rId587"/>
    <hyperlink xmlns:r="http://schemas.openxmlformats.org/officeDocument/2006/relationships" ref="F783" r:id="rId588"/>
    <hyperlink xmlns:r="http://schemas.openxmlformats.org/officeDocument/2006/relationships" ref="F784" r:id="rId589"/>
    <hyperlink xmlns:r="http://schemas.openxmlformats.org/officeDocument/2006/relationships" ref="F785" r:id="rId590"/>
    <hyperlink xmlns:r="http://schemas.openxmlformats.org/officeDocument/2006/relationships" ref="F786" r:id="rId591"/>
    <hyperlink xmlns:r="http://schemas.openxmlformats.org/officeDocument/2006/relationships" ref="F787" r:id="rId592"/>
    <hyperlink xmlns:r="http://schemas.openxmlformats.org/officeDocument/2006/relationships" ref="F788" r:id="rId593"/>
    <hyperlink xmlns:r="http://schemas.openxmlformats.org/officeDocument/2006/relationships" ref="F789" r:id="rId594"/>
    <hyperlink xmlns:r="http://schemas.openxmlformats.org/officeDocument/2006/relationships" ref="F791" r:id="rId595"/>
    <hyperlink xmlns:r="http://schemas.openxmlformats.org/officeDocument/2006/relationships" ref="F797" r:id="rId596"/>
    <hyperlink xmlns:r="http://schemas.openxmlformats.org/officeDocument/2006/relationships" ref="F798" r:id="rId597"/>
    <hyperlink xmlns:r="http://schemas.openxmlformats.org/officeDocument/2006/relationships" ref="F800" r:id="rId598"/>
    <hyperlink xmlns:r="http://schemas.openxmlformats.org/officeDocument/2006/relationships" ref="F801" r:id="rId599"/>
    <hyperlink xmlns:r="http://schemas.openxmlformats.org/officeDocument/2006/relationships" ref="F802" r:id="rId600"/>
    <hyperlink xmlns:r="http://schemas.openxmlformats.org/officeDocument/2006/relationships" ref="F804" r:id="rId601"/>
    <hyperlink xmlns:r="http://schemas.openxmlformats.org/officeDocument/2006/relationships" ref="F805" r:id="rId602"/>
    <hyperlink xmlns:r="http://schemas.openxmlformats.org/officeDocument/2006/relationships" ref="F806" r:id="rId603"/>
    <hyperlink xmlns:r="http://schemas.openxmlformats.org/officeDocument/2006/relationships" ref="F807" r:id="rId604"/>
    <hyperlink xmlns:r="http://schemas.openxmlformats.org/officeDocument/2006/relationships" ref="F808" r:id="rId605"/>
    <hyperlink xmlns:r="http://schemas.openxmlformats.org/officeDocument/2006/relationships" ref="F809" r:id="rId606"/>
    <hyperlink xmlns:r="http://schemas.openxmlformats.org/officeDocument/2006/relationships" ref="F810" r:id="rId607"/>
    <hyperlink xmlns:r="http://schemas.openxmlformats.org/officeDocument/2006/relationships" ref="F811" r:id="rId608"/>
    <hyperlink xmlns:r="http://schemas.openxmlformats.org/officeDocument/2006/relationships" ref="F812" r:id="rId609"/>
    <hyperlink xmlns:r="http://schemas.openxmlformats.org/officeDocument/2006/relationships" ref="F814" r:id="rId610"/>
    <hyperlink xmlns:r="http://schemas.openxmlformats.org/officeDocument/2006/relationships" ref="F817" r:id="rId611"/>
    <hyperlink xmlns:r="http://schemas.openxmlformats.org/officeDocument/2006/relationships" ref="F818" r:id="rId612"/>
    <hyperlink xmlns:r="http://schemas.openxmlformats.org/officeDocument/2006/relationships" ref="F819" r:id="rId613"/>
    <hyperlink xmlns:r="http://schemas.openxmlformats.org/officeDocument/2006/relationships" ref="F820" r:id="rId614"/>
    <hyperlink xmlns:r="http://schemas.openxmlformats.org/officeDocument/2006/relationships" ref="F822" r:id="rId615"/>
    <hyperlink xmlns:r="http://schemas.openxmlformats.org/officeDocument/2006/relationships" ref="F823" r:id="rId616"/>
    <hyperlink xmlns:r="http://schemas.openxmlformats.org/officeDocument/2006/relationships" ref="F824" r:id="rId617"/>
    <hyperlink xmlns:r="http://schemas.openxmlformats.org/officeDocument/2006/relationships" ref="F825" r:id="rId618"/>
    <hyperlink xmlns:r="http://schemas.openxmlformats.org/officeDocument/2006/relationships" ref="F828" r:id="rId619"/>
    <hyperlink xmlns:r="http://schemas.openxmlformats.org/officeDocument/2006/relationships" ref="F829" r:id="rId620"/>
    <hyperlink xmlns:r="http://schemas.openxmlformats.org/officeDocument/2006/relationships" ref="F830" r:id="rId621"/>
    <hyperlink xmlns:r="http://schemas.openxmlformats.org/officeDocument/2006/relationships" ref="F831" r:id="rId622"/>
    <hyperlink xmlns:r="http://schemas.openxmlformats.org/officeDocument/2006/relationships" ref="F833" r:id="rId623"/>
    <hyperlink xmlns:r="http://schemas.openxmlformats.org/officeDocument/2006/relationships" ref="F834" r:id="rId624"/>
    <hyperlink xmlns:r="http://schemas.openxmlformats.org/officeDocument/2006/relationships" ref="F835" r:id="rId625"/>
    <hyperlink xmlns:r="http://schemas.openxmlformats.org/officeDocument/2006/relationships" ref="F841" r:id="rId626"/>
    <hyperlink xmlns:r="http://schemas.openxmlformats.org/officeDocument/2006/relationships" ref="F844" r:id="rId627"/>
    <hyperlink xmlns:r="http://schemas.openxmlformats.org/officeDocument/2006/relationships" ref="F845" r:id="rId628"/>
    <hyperlink xmlns:r="http://schemas.openxmlformats.org/officeDocument/2006/relationships" ref="F847" r:id="rId629"/>
    <hyperlink xmlns:r="http://schemas.openxmlformats.org/officeDocument/2006/relationships" ref="F849" r:id="rId630"/>
    <hyperlink xmlns:r="http://schemas.openxmlformats.org/officeDocument/2006/relationships" ref="F850" r:id="rId631"/>
    <hyperlink xmlns:r="http://schemas.openxmlformats.org/officeDocument/2006/relationships" ref="F851" r:id="rId632"/>
    <hyperlink xmlns:r="http://schemas.openxmlformats.org/officeDocument/2006/relationships" ref="F852" r:id="rId633"/>
    <hyperlink xmlns:r="http://schemas.openxmlformats.org/officeDocument/2006/relationships" ref="F853" r:id="rId634"/>
    <hyperlink xmlns:r="http://schemas.openxmlformats.org/officeDocument/2006/relationships" ref="F854" r:id="rId635"/>
    <hyperlink xmlns:r="http://schemas.openxmlformats.org/officeDocument/2006/relationships" ref="F855" r:id="rId636"/>
    <hyperlink xmlns:r="http://schemas.openxmlformats.org/officeDocument/2006/relationships" ref="F856" r:id="rId637"/>
    <hyperlink xmlns:r="http://schemas.openxmlformats.org/officeDocument/2006/relationships" ref="F858" r:id="rId638"/>
    <hyperlink xmlns:r="http://schemas.openxmlformats.org/officeDocument/2006/relationships" ref="F860" r:id="rId639"/>
    <hyperlink xmlns:r="http://schemas.openxmlformats.org/officeDocument/2006/relationships" ref="F861" r:id="rId640"/>
    <hyperlink xmlns:r="http://schemas.openxmlformats.org/officeDocument/2006/relationships" ref="F862" r:id="rId641"/>
    <hyperlink xmlns:r="http://schemas.openxmlformats.org/officeDocument/2006/relationships" ref="F863" r:id="rId642"/>
    <hyperlink xmlns:r="http://schemas.openxmlformats.org/officeDocument/2006/relationships" ref="F865" r:id="rId643"/>
    <hyperlink xmlns:r="http://schemas.openxmlformats.org/officeDocument/2006/relationships" ref="F868" r:id="rId644"/>
    <hyperlink xmlns:r="http://schemas.openxmlformats.org/officeDocument/2006/relationships" ref="F870" r:id="rId645"/>
    <hyperlink xmlns:r="http://schemas.openxmlformats.org/officeDocument/2006/relationships" ref="F871" r:id="rId646"/>
    <hyperlink xmlns:r="http://schemas.openxmlformats.org/officeDocument/2006/relationships" ref="F872" r:id="rId647"/>
    <hyperlink xmlns:r="http://schemas.openxmlformats.org/officeDocument/2006/relationships" ref="F874" r:id="rId648"/>
    <hyperlink xmlns:r="http://schemas.openxmlformats.org/officeDocument/2006/relationships" ref="F875" r:id="rId649"/>
    <hyperlink xmlns:r="http://schemas.openxmlformats.org/officeDocument/2006/relationships" ref="F877" r:id="rId650"/>
    <hyperlink xmlns:r="http://schemas.openxmlformats.org/officeDocument/2006/relationships" ref="F878" r:id="rId651"/>
    <hyperlink xmlns:r="http://schemas.openxmlformats.org/officeDocument/2006/relationships" ref="F879" r:id="rId652"/>
    <hyperlink xmlns:r="http://schemas.openxmlformats.org/officeDocument/2006/relationships" ref="F881" r:id="rId653"/>
    <hyperlink xmlns:r="http://schemas.openxmlformats.org/officeDocument/2006/relationships" ref="F882" r:id="rId654"/>
    <hyperlink xmlns:r="http://schemas.openxmlformats.org/officeDocument/2006/relationships" ref="F883" r:id="rId655"/>
    <hyperlink xmlns:r="http://schemas.openxmlformats.org/officeDocument/2006/relationships" ref="F885" r:id="rId656"/>
    <hyperlink xmlns:r="http://schemas.openxmlformats.org/officeDocument/2006/relationships" ref="F886" r:id="rId657"/>
    <hyperlink xmlns:r="http://schemas.openxmlformats.org/officeDocument/2006/relationships" ref="F887" r:id="rId658"/>
    <hyperlink xmlns:r="http://schemas.openxmlformats.org/officeDocument/2006/relationships" ref="F889" r:id="rId659"/>
    <hyperlink xmlns:r="http://schemas.openxmlformats.org/officeDocument/2006/relationships" ref="F891" r:id="rId660"/>
    <hyperlink xmlns:r="http://schemas.openxmlformats.org/officeDocument/2006/relationships" ref="F893" r:id="rId661"/>
    <hyperlink xmlns:r="http://schemas.openxmlformats.org/officeDocument/2006/relationships" ref="F894" r:id="rId662"/>
    <hyperlink xmlns:r="http://schemas.openxmlformats.org/officeDocument/2006/relationships" ref="F896" r:id="rId663"/>
    <hyperlink xmlns:r="http://schemas.openxmlformats.org/officeDocument/2006/relationships" ref="F897" r:id="rId664"/>
    <hyperlink xmlns:r="http://schemas.openxmlformats.org/officeDocument/2006/relationships" ref="F898" r:id="rId665"/>
    <hyperlink xmlns:r="http://schemas.openxmlformats.org/officeDocument/2006/relationships" ref="F899" r:id="rId666"/>
    <hyperlink xmlns:r="http://schemas.openxmlformats.org/officeDocument/2006/relationships" ref="F900" r:id="rId667"/>
    <hyperlink xmlns:r="http://schemas.openxmlformats.org/officeDocument/2006/relationships" ref="F901" r:id="rId668"/>
    <hyperlink xmlns:r="http://schemas.openxmlformats.org/officeDocument/2006/relationships" ref="F902" r:id="rId669"/>
    <hyperlink xmlns:r="http://schemas.openxmlformats.org/officeDocument/2006/relationships" ref="F903" r:id="rId670"/>
    <hyperlink xmlns:r="http://schemas.openxmlformats.org/officeDocument/2006/relationships" ref="F905" r:id="rId671"/>
    <hyperlink xmlns:r="http://schemas.openxmlformats.org/officeDocument/2006/relationships" ref="F906" r:id="rId672"/>
    <hyperlink xmlns:r="http://schemas.openxmlformats.org/officeDocument/2006/relationships" ref="F907" r:id="rId673"/>
    <hyperlink xmlns:r="http://schemas.openxmlformats.org/officeDocument/2006/relationships" ref="F908" r:id="rId674"/>
    <hyperlink xmlns:r="http://schemas.openxmlformats.org/officeDocument/2006/relationships" ref="F909" r:id="rId675"/>
    <hyperlink xmlns:r="http://schemas.openxmlformats.org/officeDocument/2006/relationships" ref="F910" r:id="rId676"/>
    <hyperlink xmlns:r="http://schemas.openxmlformats.org/officeDocument/2006/relationships" ref="F918" r:id="rId677"/>
    <hyperlink xmlns:r="http://schemas.openxmlformats.org/officeDocument/2006/relationships" ref="F921" r:id="rId678"/>
    <hyperlink xmlns:r="http://schemas.openxmlformats.org/officeDocument/2006/relationships" ref="F922" r:id="rId679"/>
    <hyperlink xmlns:r="http://schemas.openxmlformats.org/officeDocument/2006/relationships" ref="F924" r:id="rId680"/>
    <hyperlink xmlns:r="http://schemas.openxmlformats.org/officeDocument/2006/relationships" ref="F925" r:id="rId681"/>
    <hyperlink xmlns:r="http://schemas.openxmlformats.org/officeDocument/2006/relationships" ref="F926" r:id="rId682"/>
    <hyperlink xmlns:r="http://schemas.openxmlformats.org/officeDocument/2006/relationships" ref="F927" r:id="rId683"/>
    <hyperlink xmlns:r="http://schemas.openxmlformats.org/officeDocument/2006/relationships" ref="F928" r:id="rId684"/>
    <hyperlink xmlns:r="http://schemas.openxmlformats.org/officeDocument/2006/relationships" ref="F932" r:id="rId685"/>
    <hyperlink xmlns:r="http://schemas.openxmlformats.org/officeDocument/2006/relationships" ref="F933" r:id="rId686"/>
    <hyperlink xmlns:r="http://schemas.openxmlformats.org/officeDocument/2006/relationships" ref="F934" r:id="rId687"/>
    <hyperlink xmlns:r="http://schemas.openxmlformats.org/officeDocument/2006/relationships" ref="F935" r:id="rId688"/>
    <hyperlink xmlns:r="http://schemas.openxmlformats.org/officeDocument/2006/relationships" ref="F936" r:id="rId689"/>
    <hyperlink xmlns:r="http://schemas.openxmlformats.org/officeDocument/2006/relationships" ref="F937" r:id="rId690"/>
    <hyperlink xmlns:r="http://schemas.openxmlformats.org/officeDocument/2006/relationships" ref="F939" r:id="rId691"/>
    <hyperlink xmlns:r="http://schemas.openxmlformats.org/officeDocument/2006/relationships" ref="F940" r:id="rId692"/>
    <hyperlink xmlns:r="http://schemas.openxmlformats.org/officeDocument/2006/relationships" ref="F942" r:id="rId693"/>
    <hyperlink xmlns:r="http://schemas.openxmlformats.org/officeDocument/2006/relationships" ref="F943" r:id="rId694"/>
    <hyperlink xmlns:r="http://schemas.openxmlformats.org/officeDocument/2006/relationships" ref="F944" r:id="rId695"/>
    <hyperlink xmlns:r="http://schemas.openxmlformats.org/officeDocument/2006/relationships" ref="F945" r:id="rId696"/>
    <hyperlink xmlns:r="http://schemas.openxmlformats.org/officeDocument/2006/relationships" ref="F947" r:id="rId697"/>
    <hyperlink xmlns:r="http://schemas.openxmlformats.org/officeDocument/2006/relationships" ref="F948" r:id="rId698"/>
    <hyperlink xmlns:r="http://schemas.openxmlformats.org/officeDocument/2006/relationships" ref="F949" r:id="rId699"/>
    <hyperlink xmlns:r="http://schemas.openxmlformats.org/officeDocument/2006/relationships" ref="F950" r:id="rId700"/>
    <hyperlink xmlns:r="http://schemas.openxmlformats.org/officeDocument/2006/relationships" ref="F951" r:id="rId701"/>
    <hyperlink xmlns:r="http://schemas.openxmlformats.org/officeDocument/2006/relationships" ref="F954" r:id="rId702"/>
    <hyperlink xmlns:r="http://schemas.openxmlformats.org/officeDocument/2006/relationships" ref="F955" r:id="rId703"/>
    <hyperlink xmlns:r="http://schemas.openxmlformats.org/officeDocument/2006/relationships" ref="F956" r:id="rId704"/>
    <hyperlink xmlns:r="http://schemas.openxmlformats.org/officeDocument/2006/relationships" ref="F957" r:id="rId705"/>
    <hyperlink xmlns:r="http://schemas.openxmlformats.org/officeDocument/2006/relationships" ref="F958" r:id="rId706"/>
    <hyperlink xmlns:r="http://schemas.openxmlformats.org/officeDocument/2006/relationships" ref="F959" r:id="rId707"/>
    <hyperlink xmlns:r="http://schemas.openxmlformats.org/officeDocument/2006/relationships" ref="F960" r:id="rId708"/>
    <hyperlink xmlns:r="http://schemas.openxmlformats.org/officeDocument/2006/relationships" ref="F961" r:id="rId709"/>
    <hyperlink xmlns:r="http://schemas.openxmlformats.org/officeDocument/2006/relationships" ref="F962" r:id="rId710"/>
    <hyperlink xmlns:r="http://schemas.openxmlformats.org/officeDocument/2006/relationships" ref="F963" r:id="rId711"/>
    <hyperlink xmlns:r="http://schemas.openxmlformats.org/officeDocument/2006/relationships" ref="F964" r:id="rId712"/>
    <hyperlink xmlns:r="http://schemas.openxmlformats.org/officeDocument/2006/relationships" ref="F965" r:id="rId713"/>
    <hyperlink xmlns:r="http://schemas.openxmlformats.org/officeDocument/2006/relationships" ref="F966" r:id="rId714"/>
    <hyperlink xmlns:r="http://schemas.openxmlformats.org/officeDocument/2006/relationships" ref="F967" r:id="rId715"/>
    <hyperlink xmlns:r="http://schemas.openxmlformats.org/officeDocument/2006/relationships" ref="F968" r:id="rId716"/>
    <hyperlink xmlns:r="http://schemas.openxmlformats.org/officeDocument/2006/relationships" ref="F969" r:id="rId717"/>
    <hyperlink xmlns:r="http://schemas.openxmlformats.org/officeDocument/2006/relationships" ref="F970" r:id="rId718"/>
    <hyperlink xmlns:r="http://schemas.openxmlformats.org/officeDocument/2006/relationships" ref="F971" r:id="rId719"/>
    <hyperlink xmlns:r="http://schemas.openxmlformats.org/officeDocument/2006/relationships" ref="F972" r:id="rId720"/>
    <hyperlink xmlns:r="http://schemas.openxmlformats.org/officeDocument/2006/relationships" ref="F973" r:id="rId721"/>
    <hyperlink xmlns:r="http://schemas.openxmlformats.org/officeDocument/2006/relationships" ref="F974" r:id="rId722"/>
    <hyperlink xmlns:r="http://schemas.openxmlformats.org/officeDocument/2006/relationships" ref="F975" r:id="rId723"/>
    <hyperlink xmlns:r="http://schemas.openxmlformats.org/officeDocument/2006/relationships" ref="F976" r:id="rId724"/>
    <hyperlink xmlns:r="http://schemas.openxmlformats.org/officeDocument/2006/relationships" ref="F977" r:id="rId725"/>
    <hyperlink xmlns:r="http://schemas.openxmlformats.org/officeDocument/2006/relationships" ref="F978" r:id="rId726"/>
    <hyperlink xmlns:r="http://schemas.openxmlformats.org/officeDocument/2006/relationships" ref="F979" r:id="rId727"/>
    <hyperlink xmlns:r="http://schemas.openxmlformats.org/officeDocument/2006/relationships" ref="F980" r:id="rId728"/>
    <hyperlink xmlns:r="http://schemas.openxmlformats.org/officeDocument/2006/relationships" ref="F982" r:id="rId729"/>
    <hyperlink xmlns:r="http://schemas.openxmlformats.org/officeDocument/2006/relationships" ref="F983" r:id="rId730"/>
    <hyperlink xmlns:r="http://schemas.openxmlformats.org/officeDocument/2006/relationships" ref="F984" r:id="rId731"/>
    <hyperlink xmlns:r="http://schemas.openxmlformats.org/officeDocument/2006/relationships" ref="F985" r:id="rId732"/>
    <hyperlink xmlns:r="http://schemas.openxmlformats.org/officeDocument/2006/relationships" ref="F986" r:id="rId733"/>
    <hyperlink xmlns:r="http://schemas.openxmlformats.org/officeDocument/2006/relationships" ref="F987" r:id="rId734"/>
    <hyperlink xmlns:r="http://schemas.openxmlformats.org/officeDocument/2006/relationships" ref="F988" r:id="rId735"/>
    <hyperlink xmlns:r="http://schemas.openxmlformats.org/officeDocument/2006/relationships" ref="F989" r:id="rId736"/>
    <hyperlink xmlns:r="http://schemas.openxmlformats.org/officeDocument/2006/relationships" ref="F991" r:id="rId737"/>
    <hyperlink xmlns:r="http://schemas.openxmlformats.org/officeDocument/2006/relationships" ref="F992" r:id="rId738"/>
    <hyperlink xmlns:r="http://schemas.openxmlformats.org/officeDocument/2006/relationships" ref="F993" r:id="rId739"/>
    <hyperlink xmlns:r="http://schemas.openxmlformats.org/officeDocument/2006/relationships" ref="F994" r:id="rId740"/>
    <hyperlink xmlns:r="http://schemas.openxmlformats.org/officeDocument/2006/relationships" ref="F995" r:id="rId741"/>
    <hyperlink xmlns:r="http://schemas.openxmlformats.org/officeDocument/2006/relationships" ref="F997" r:id="rId742"/>
    <hyperlink xmlns:r="http://schemas.openxmlformats.org/officeDocument/2006/relationships" ref="F998" r:id="rId743"/>
    <hyperlink xmlns:r="http://schemas.openxmlformats.org/officeDocument/2006/relationships" ref="F999" r:id="rId744"/>
    <hyperlink xmlns:r="http://schemas.openxmlformats.org/officeDocument/2006/relationships" ref="F1001" r:id="rId745"/>
    <hyperlink xmlns:r="http://schemas.openxmlformats.org/officeDocument/2006/relationships" ref="F1002" r:id="rId746"/>
    <hyperlink xmlns:r="http://schemas.openxmlformats.org/officeDocument/2006/relationships" ref="F1003" r:id="rId747"/>
    <hyperlink xmlns:r="http://schemas.openxmlformats.org/officeDocument/2006/relationships" ref="F1004" r:id="rId748"/>
    <hyperlink xmlns:r="http://schemas.openxmlformats.org/officeDocument/2006/relationships" ref="F1005" r:id="rId749"/>
    <hyperlink xmlns:r="http://schemas.openxmlformats.org/officeDocument/2006/relationships" ref="F1008" r:id="rId750"/>
    <hyperlink xmlns:r="http://schemas.openxmlformats.org/officeDocument/2006/relationships" ref="F1009" r:id="rId751"/>
    <hyperlink xmlns:r="http://schemas.openxmlformats.org/officeDocument/2006/relationships" ref="F1010" r:id="rId752"/>
    <hyperlink xmlns:r="http://schemas.openxmlformats.org/officeDocument/2006/relationships" ref="F1013" r:id="rId753"/>
    <hyperlink xmlns:r="http://schemas.openxmlformats.org/officeDocument/2006/relationships" ref="F1015" r:id="rId754"/>
    <hyperlink xmlns:r="http://schemas.openxmlformats.org/officeDocument/2006/relationships" ref="F1016" r:id="rId755"/>
    <hyperlink xmlns:r="http://schemas.openxmlformats.org/officeDocument/2006/relationships" ref="F1017" r:id="rId756"/>
    <hyperlink xmlns:r="http://schemas.openxmlformats.org/officeDocument/2006/relationships" ref="F1019" r:id="rId757"/>
    <hyperlink xmlns:r="http://schemas.openxmlformats.org/officeDocument/2006/relationships" ref="F1021" r:id="rId758"/>
    <hyperlink xmlns:r="http://schemas.openxmlformats.org/officeDocument/2006/relationships" ref="F1022" r:id="rId759"/>
    <hyperlink xmlns:r="http://schemas.openxmlformats.org/officeDocument/2006/relationships" ref="F1025" r:id="rId760"/>
    <hyperlink xmlns:r="http://schemas.openxmlformats.org/officeDocument/2006/relationships" ref="F1026" r:id="rId761"/>
    <hyperlink xmlns:r="http://schemas.openxmlformats.org/officeDocument/2006/relationships" ref="F1028" r:id="rId762"/>
    <hyperlink xmlns:r="http://schemas.openxmlformats.org/officeDocument/2006/relationships" ref="F1029" r:id="rId763"/>
    <hyperlink xmlns:r="http://schemas.openxmlformats.org/officeDocument/2006/relationships" ref="F1030" r:id="rId764"/>
    <hyperlink xmlns:r="http://schemas.openxmlformats.org/officeDocument/2006/relationships" ref="F1031" r:id="rId765"/>
    <hyperlink xmlns:r="http://schemas.openxmlformats.org/officeDocument/2006/relationships" ref="F1032" r:id="rId766"/>
    <hyperlink xmlns:r="http://schemas.openxmlformats.org/officeDocument/2006/relationships" ref="F1033" r:id="rId767"/>
    <hyperlink xmlns:r="http://schemas.openxmlformats.org/officeDocument/2006/relationships" ref="F1036" r:id="rId768"/>
    <hyperlink xmlns:r="http://schemas.openxmlformats.org/officeDocument/2006/relationships" ref="F1037" r:id="rId769"/>
    <hyperlink xmlns:r="http://schemas.openxmlformats.org/officeDocument/2006/relationships" ref="F1039" r:id="rId770"/>
    <hyperlink xmlns:r="http://schemas.openxmlformats.org/officeDocument/2006/relationships" ref="F1041" r:id="rId771"/>
    <hyperlink xmlns:r="http://schemas.openxmlformats.org/officeDocument/2006/relationships" ref="F1042" r:id="rId772"/>
    <hyperlink xmlns:r="http://schemas.openxmlformats.org/officeDocument/2006/relationships" ref="F1043" r:id="rId773"/>
    <hyperlink xmlns:r="http://schemas.openxmlformats.org/officeDocument/2006/relationships" ref="F1044" r:id="rId774"/>
    <hyperlink xmlns:r="http://schemas.openxmlformats.org/officeDocument/2006/relationships" ref="F1045" r:id="rId775"/>
    <hyperlink xmlns:r="http://schemas.openxmlformats.org/officeDocument/2006/relationships" ref="F1047" r:id="rId776"/>
    <hyperlink xmlns:r="http://schemas.openxmlformats.org/officeDocument/2006/relationships" ref="F1048" r:id="rId777"/>
    <hyperlink xmlns:r="http://schemas.openxmlformats.org/officeDocument/2006/relationships" ref="F1049" r:id="rId778"/>
    <hyperlink xmlns:r="http://schemas.openxmlformats.org/officeDocument/2006/relationships" ref="F1055" r:id="rId779"/>
    <hyperlink xmlns:r="http://schemas.openxmlformats.org/officeDocument/2006/relationships" ref="F1056" r:id="rId780"/>
    <hyperlink xmlns:r="http://schemas.openxmlformats.org/officeDocument/2006/relationships" ref="F1057" r:id="rId781"/>
    <hyperlink xmlns:r="http://schemas.openxmlformats.org/officeDocument/2006/relationships" ref="F1059" r:id="rId782"/>
    <hyperlink xmlns:r="http://schemas.openxmlformats.org/officeDocument/2006/relationships" ref="F1060" r:id="rId783"/>
    <hyperlink xmlns:r="http://schemas.openxmlformats.org/officeDocument/2006/relationships" ref="F1061" r:id="rId784"/>
    <hyperlink xmlns:r="http://schemas.openxmlformats.org/officeDocument/2006/relationships" ref="F1062" r:id="rId785"/>
    <hyperlink xmlns:r="http://schemas.openxmlformats.org/officeDocument/2006/relationships" ref="F1063" r:id="rId786"/>
    <hyperlink xmlns:r="http://schemas.openxmlformats.org/officeDocument/2006/relationships" ref="F1064" r:id="rId787"/>
    <hyperlink xmlns:r="http://schemas.openxmlformats.org/officeDocument/2006/relationships" ref="F1065" r:id="rId788"/>
    <hyperlink xmlns:r="http://schemas.openxmlformats.org/officeDocument/2006/relationships" ref="F1066" r:id="rId789"/>
    <hyperlink xmlns:r="http://schemas.openxmlformats.org/officeDocument/2006/relationships" ref="F1067" r:id="rId790"/>
    <hyperlink xmlns:r="http://schemas.openxmlformats.org/officeDocument/2006/relationships" ref="F1068" r:id="rId791"/>
    <hyperlink xmlns:r="http://schemas.openxmlformats.org/officeDocument/2006/relationships" ref="F1069" r:id="rId792"/>
    <hyperlink xmlns:r="http://schemas.openxmlformats.org/officeDocument/2006/relationships" ref="F1070" r:id="rId793"/>
    <hyperlink xmlns:r="http://schemas.openxmlformats.org/officeDocument/2006/relationships" ref="F1071" r:id="rId794"/>
    <hyperlink xmlns:r="http://schemas.openxmlformats.org/officeDocument/2006/relationships" ref="F1072" r:id="rId795"/>
    <hyperlink xmlns:r="http://schemas.openxmlformats.org/officeDocument/2006/relationships" ref="F1073" r:id="rId796"/>
    <hyperlink xmlns:r="http://schemas.openxmlformats.org/officeDocument/2006/relationships" ref="F1074" r:id="rId797"/>
    <hyperlink xmlns:r="http://schemas.openxmlformats.org/officeDocument/2006/relationships" ref="F1075" r:id="rId798"/>
    <hyperlink xmlns:r="http://schemas.openxmlformats.org/officeDocument/2006/relationships" ref="F1076" r:id="rId799"/>
    <hyperlink xmlns:r="http://schemas.openxmlformats.org/officeDocument/2006/relationships" ref="F1077" r:id="rId800"/>
    <hyperlink xmlns:r="http://schemas.openxmlformats.org/officeDocument/2006/relationships" ref="F1078" r:id="rId801"/>
    <hyperlink xmlns:r="http://schemas.openxmlformats.org/officeDocument/2006/relationships" ref="F1081" r:id="rId802"/>
    <hyperlink xmlns:r="http://schemas.openxmlformats.org/officeDocument/2006/relationships" ref="F1083" r:id="rId803"/>
    <hyperlink xmlns:r="http://schemas.openxmlformats.org/officeDocument/2006/relationships" ref="F1084" r:id="rId804"/>
    <hyperlink xmlns:r="http://schemas.openxmlformats.org/officeDocument/2006/relationships" ref="F1085" r:id="rId805"/>
    <hyperlink xmlns:r="http://schemas.openxmlformats.org/officeDocument/2006/relationships" ref="F1089" r:id="rId806"/>
    <hyperlink xmlns:r="http://schemas.openxmlformats.org/officeDocument/2006/relationships" ref="F1095" r:id="rId807"/>
    <hyperlink xmlns:r="http://schemas.openxmlformats.org/officeDocument/2006/relationships" ref="F1097" r:id="rId808"/>
    <hyperlink xmlns:r="http://schemas.openxmlformats.org/officeDocument/2006/relationships" ref="F1098" r:id="rId809"/>
    <hyperlink xmlns:r="http://schemas.openxmlformats.org/officeDocument/2006/relationships" ref="F1101" r:id="rId810"/>
    <hyperlink xmlns:r="http://schemas.openxmlformats.org/officeDocument/2006/relationships" ref="F1102" r:id="rId811"/>
    <hyperlink xmlns:r="http://schemas.openxmlformats.org/officeDocument/2006/relationships" ref="F1103" r:id="rId812"/>
    <hyperlink xmlns:r="http://schemas.openxmlformats.org/officeDocument/2006/relationships" ref="F1105" r:id="rId813"/>
    <hyperlink xmlns:r="http://schemas.openxmlformats.org/officeDocument/2006/relationships" ref="F1106" r:id="rId814"/>
    <hyperlink xmlns:r="http://schemas.openxmlformats.org/officeDocument/2006/relationships" ref="F1108" r:id="rId815"/>
    <hyperlink xmlns:r="http://schemas.openxmlformats.org/officeDocument/2006/relationships" ref="F1110" r:id="rId816"/>
    <hyperlink xmlns:r="http://schemas.openxmlformats.org/officeDocument/2006/relationships" ref="F1112" r:id="rId817"/>
    <hyperlink xmlns:r="http://schemas.openxmlformats.org/officeDocument/2006/relationships" ref="F1118" r:id="rId818"/>
    <hyperlink xmlns:r="http://schemas.openxmlformats.org/officeDocument/2006/relationships" ref="F1119" r:id="rId819"/>
    <hyperlink xmlns:r="http://schemas.openxmlformats.org/officeDocument/2006/relationships" ref="F1120" r:id="rId820"/>
    <hyperlink xmlns:r="http://schemas.openxmlformats.org/officeDocument/2006/relationships" ref="F1124" r:id="rId821"/>
    <hyperlink xmlns:r="http://schemas.openxmlformats.org/officeDocument/2006/relationships" ref="F1127" r:id="rId822"/>
    <hyperlink xmlns:r="http://schemas.openxmlformats.org/officeDocument/2006/relationships" ref="F1134" r:id="rId823"/>
    <hyperlink xmlns:r="http://schemas.openxmlformats.org/officeDocument/2006/relationships" ref="F1136" r:id="rId824"/>
    <hyperlink xmlns:r="http://schemas.openxmlformats.org/officeDocument/2006/relationships" ref="F1140" r:id="rId825"/>
    <hyperlink xmlns:r="http://schemas.openxmlformats.org/officeDocument/2006/relationships" ref="F1150" r:id="rId82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0"/>
  <sheetViews>
    <sheetView showGridLines="1" workbookViewId="0">
      <pane xSplit="1" ySplit="3" topLeftCell="B4" activePane="bottomRight" state="frozen"/>
      <selection pane="topRight"/>
      <selection pane="bottomLeft"/>
      <selection pane="bottomRight" activeCell="A1" sqref="A1"/>
    </sheetView>
  </sheetViews>
  <sheetFormatPr baseColWidth="8" defaultRowHeight="15"/>
  <cols>
    <col width="28" customWidth="1" min="1" max="1"/>
    <col width="8" customWidth="1" min="2" max="2"/>
    <col width="24" customWidth="1" min="3" max="3"/>
    <col width="12.45" customWidth="1" min="4" max="4"/>
    <col width="21" customWidth="1" min="5" max="5"/>
    <col width="60" customWidth="1" min="6" max="6"/>
    <col width="40" customWidth="1" min="7" max="7"/>
    <col width="8" customWidth="1" min="8" max="8"/>
    <col width="40" customWidth="1" min="9" max="9"/>
  </cols>
  <sheetData>
    <row r="1">
      <c r="A1" s="9" t="inlineStr">
        <is>
          <t>成長への根拠の強さと位置づけは評価者の判断([推測])。普及度は競合15サービスのうち✅の数。</t>
        </is>
      </c>
    </row>
    <row r="3">
      <c r="A3" s="10" t="inlineStr">
        <is>
          <t>区分</t>
        </is>
      </c>
      <c r="B3" s="10" t="inlineStr">
        <is>
          <t>ID</t>
        </is>
      </c>
      <c r="C3" s="10" t="inlineStr">
        <is>
          <t>機能</t>
        </is>
      </c>
      <c r="D3" s="10" t="inlineStr">
        <is>
          <t>普及度(競合✅/15)</t>
        </is>
      </c>
      <c r="E3" s="10" t="inlineStr">
        <is>
          <t>根拠の強さ</t>
        </is>
      </c>
      <c r="F3" s="10" t="inlineStr">
        <is>
          <t>根拠</t>
        </is>
      </c>
      <c r="G3" s="10" t="inlineStr">
        <is>
          <t>位置づけ</t>
        </is>
      </c>
      <c r="H3" s="10" t="inlineStr">
        <is>
          <t>自社</t>
        </is>
      </c>
      <c r="I3" s="10" t="inlineStr">
        <is>
          <t>根拠の出典</t>
        </is>
      </c>
    </row>
    <row r="4">
      <c r="A4" s="16" t="inlineStr">
        <is>
          <t>3.1 根拠が強い・中、または負の事例が明確なもの(11機能)</t>
        </is>
      </c>
      <c r="B4" s="16" t="inlineStr">
        <is>
          <t>AC01</t>
        </is>
      </c>
      <c r="C4" s="16" t="inlineStr">
        <is>
          <t>無料イベントは無料</t>
        </is>
      </c>
      <c r="D4" s="16" t="n">
        <v>6</v>
      </c>
      <c r="E4" s="16" t="inlineStr">
        <is>
          <t>負(強)</t>
        </is>
      </c>
      <c r="F4" s="16" t="inlineStr">
        <is>
          <t>Eventbrite は2023年に25人超の無料イベントへ主催者手数料を課し、有料チケットが2024年-10%・2025年-6%、有料クリエイターが2024年-7%となった。経営陣が2024 Q2に主催者の獲得・維持の阻害を認め、2024-09-04に撤回した。無料を開いた主催者の約17%は12か月以内に有料開催した(10-K FY2018)。競合の扱いは割れる(Meetup は初回のみ無料、ストアカは無料講座不可)。</t>
        </is>
      </c>
      <c r="G4" s="16" t="inlineStr">
        <is>
          <t>供給側の誘因</t>
        </is>
      </c>
      <c r="H4" s="16" t="inlineStr">
        <is>
          <t>✅*</t>
        </is>
      </c>
      <c r="I4" s="16" t="inlineStr">
        <is>
          <t>GS機能表「無料イベントへの主催者課金」、主催者獲得「失敗・撤退事例」。10-K FY2024、Q2 2024 決算コール、10-K FY2018
https://www.sec.gov/Archives/edgar/data/1475115/000147511525000026/eb-20241231.htm
https://www.marketbeat.com/earnings/reports/2024-8-8-eventbrite-inc-stock
https://www.sec.gov/Archives/edgar/data/1475115/000147511519000007/ebform10-kx2018123118.htm</t>
        </is>
      </c>
    </row>
    <row r="5">
      <c r="A5" s="16" t="inlineStr">
        <is>
          <t>3.1 根拠が強い・中、または負の事例が明確なもの(11機能)</t>
        </is>
      </c>
      <c r="B5" s="16" t="inlineStr">
        <is>
          <t>MN02</t>
        </is>
      </c>
      <c r="C5" s="16" t="inlineStr">
        <is>
          <t>主催者向け有料プラン</t>
        </is>
      </c>
      <c r="D5" s="16" t="n">
        <v>5</v>
      </c>
      <c r="E5" s="16" t="inlineStr">
        <is>
          <t>負(中)</t>
        </is>
      </c>
      <c r="F5" s="16" t="inlineStr">
        <is>
          <t>Meetup は2019-10の参加者RSVP $2課金テストで反発を受け、その後に約25%をレイオフした(因果は未確認)。2024年の値上げ後は OWASP が2026-01に退会した。Eventbrite の無料課金(AC01)と同じ方向。Doorkeeper は2016年の月額制(2016-07発表)で小規模のまま初の黒字(2016-08報告)となり、離脱を覚悟した設計だった。</t>
        </is>
      </c>
      <c r="G5" s="16" t="inlineStr">
        <is>
          <t>該当なし(収益化。成長の手段ではなく制約)</t>
        </is>
      </c>
      <c r="H5" s="16" t="inlineStr">
        <is>
          <t>△*</t>
        </is>
      </c>
      <c r="I5" s="16" t="inlineStr">
        <is>
          <t>GS機能表「主催者への課金」。OWASP 2026-01、WP Tavern
https://owasp.github.io/blog/2026/01/13/retiring-meetup
https://wptavern.com/meetup-com-introduces-rsvp-fees-for-members-wordpress-meetup-groups-unaffected-by-pricing-changes</t>
        </is>
      </c>
    </row>
    <row r="6">
      <c r="A6" s="16" t="inlineStr">
        <is>
          <t>3.1 根拠が強い・中、または負の事例が明確なもの(11機能)</t>
        </is>
      </c>
      <c r="B6" s="16" t="inlineStr">
        <is>
          <t>AC08</t>
        </is>
      </c>
      <c r="C6" s="16" t="inlineStr">
        <is>
          <t>運営主催・公式イベント</t>
        </is>
      </c>
      <c r="D6" s="16" t="n">
        <v>4</v>
      </c>
      <c r="E6" s="16" t="inlineStr">
        <is>
          <t>中(負あり)</t>
        </is>
      </c>
      <c r="F6" s="16" t="inlineStr">
        <is>
          <t>connpass は運営会社が自社勉強会 BPStudy を2007-09から開催し(2017-08に120回)、프립は創業者の自主企画で約1万人、薯岛は40〜50回の自主開催で需要を検証、TECH PLAY は自社セミナー600回超(2020-07)、Timeleft は全回が運営主催。複数サービスの初期供給で一貫している。反面、Dinner Lab は各都市に常勤運営を置く固定費構造で2016-04に閉鎖した(CEO は1市場で年300イベント要、成熟市場でも約80回と述べた)。</t>
        </is>
      </c>
      <c r="G6" s="16" t="inlineStr">
        <is>
          <t>供給側の誘因</t>
        </is>
      </c>
      <c r="H6" s="16" t="inlineStr">
        <is>
          <t>？</t>
        </is>
      </c>
      <c r="I6" s="16" t="inlineStr">
        <is>
          <t>GSチャネル「オフライン・自社イベント」。ビープラウド沿革、TechCrunch 2015-12
https://www.beproud.jp/company/company_history/
https://techcrunch.com/2015/12/23/layoffs-hit-dinner-lab-as-company-shifts-to-contract-model-for-event-staffers/</t>
        </is>
      </c>
    </row>
    <row r="7">
      <c r="A7" s="16" t="inlineStr">
        <is>
          <t>3.1 根拠が強い・中、または負の事例が明確なもの(11機能)</t>
        </is>
      </c>
      <c r="B7" s="16" t="inlineStr">
        <is>
          <t>CR02</t>
        </is>
      </c>
      <c r="C7" s="16" t="inlineStr">
        <is>
          <t>自動メンバー化</t>
        </is>
      </c>
      <c r="D7" s="16" t="n">
        <v>7</v>
      </c>
      <c r="E7" s="16" t="inlineStr">
        <is>
          <t>中</t>
        </is>
      </c>
      <c r="F7" s="16" t="inlineStr">
        <is>
          <t>connpass(グループに紐づくイベント参加で自動メンバー化し開催通知)、Doorkeeper(申込者が自動でメンバー化。2016-08の公式報告は、終了イベントを見た人が参加してメンバーが継続的に増えると説明)、Peatix(2014年に申込時のフォロー促進を導入)が同じ設計。参加率・リピート率は非公開。DS05・CR01・OP07 と同じ証拠連鎖で、独立した根拠ではない。</t>
        </is>
      </c>
      <c r="G7" s="16" t="inlineStr">
        <is>
          <t>差別化(準標準)</t>
        </is>
      </c>
      <c r="H7" s="16" t="inlineStr">
        <is>
          <t>✅</t>
        </is>
      </c>
      <c r="I7" s="16" t="inlineStr">
        <is>
          <t>CSV note(connpass・Doorkeeper・Peatix の CR02)、GS各社「Doorkeeper」。Doorkeeper 状況報告 2016-08
https://www.doorkeeper.jp/news/2016/8/22/from-free-to-paid-status-update</t>
        </is>
      </c>
    </row>
    <row r="8">
      <c r="A8" s="16" t="inlineStr">
        <is>
          <t>3.1 根拠が強い・中、または負の事例が明確なもの(11機能)</t>
        </is>
      </c>
      <c r="B8" s="16" t="inlineStr">
        <is>
          <t>CR01</t>
        </is>
      </c>
      <c r="C8" s="16" t="inlineStr">
        <is>
          <t>ダイジェスト・おすすめ通知</t>
        </is>
      </c>
      <c r="D8" s="16" t="n">
        <v>7</v>
      </c>
      <c r="E8" s="16" t="inlineStr">
        <is>
          <t>中</t>
        </is>
      </c>
      <c r="F8" s="16" t="inlineStr">
        <is>
          <t>connpass 創業者談で通知メールを見た参加者が会場の8〜9割(CodeZine の要約、二次・本文未読)。Peatix は取扱の約15%が発見機能経由(2015-03、自社発表の二次)。DICE の New Shows Thursday は初週販売+320%(2019、自社主張)。こくちーずはメールが効いたチャネルと説明。数値はすべて自社主張か二次(GSは「弱〜中」。複数サービスの重なりで中とした)。</t>
        </is>
      </c>
      <c r="G8" s="16" t="inlineStr">
        <is>
          <t>差別化(準標準)</t>
        </is>
      </c>
      <c r="H8" s="16" t="inlineStr">
        <is>
          <t>✅</t>
        </is>
      </c>
      <c r="I8" s="16" t="inlineStr">
        <is>
          <t>GSチャネル「メール・通知」。CodeZine、THE BRIDGE 2015-03、Music Week 2019-10
https://codezine.jp/article/detail/9824
https://thebridge.jp/2015/03/peatix-5m-funding-new-markets-asia
https://www.musicweek.com/digital/read/we-help-promoters-and-venues-pack-shows-dice-founder-talks-ticketing/077698</t>
        </is>
      </c>
    </row>
    <row r="9">
      <c r="A9" s="16" t="inlineStr">
        <is>
          <t>3.1 根拠が強い・中、または負の事例が明確なもの(11機能)</t>
        </is>
      </c>
      <c r="B9" s="16" t="inlineStr">
        <is>
          <t>DS05</t>
        </is>
      </c>
      <c r="C9" s="16" t="inlineStr">
        <is>
          <t>フォロー</t>
        </is>
      </c>
      <c r="D9" s="16" t="n">
        <v>8</v>
      </c>
      <c r="E9" s="16" t="inlineStr">
        <is>
          <t>中</t>
        </is>
      </c>
      <c r="F9" s="16" t="inlineStr">
        <is>
          <t>CR02 と同じ連鎖(connpass のグループ通知、Peatix のフォロー導入と新規公開時の自動メール)。フォロー単体の効果値はない。Peatix は事例のみで数値なし。</t>
        </is>
      </c>
      <c r="G9" s="16" t="inlineStr">
        <is>
          <t>標準装備</t>
        </is>
      </c>
      <c r="H9" s="16" t="inlineStr">
        <is>
          <t>✅</t>
        </is>
      </c>
      <c r="I9" s="16" t="inlineStr">
        <is>
          <t>CSV note(connpass DS05、Peatix DS05)</t>
        </is>
      </c>
    </row>
    <row r="10">
      <c r="A10" s="16" t="inlineStr">
        <is>
          <t>3.1 根拠が強い・中、または負の事例が明確なもの(11機能)</t>
        </is>
      </c>
      <c r="B10" s="16" t="inlineStr">
        <is>
          <t>SH02</t>
        </is>
      </c>
      <c r="C10" s="16" t="inlineStr">
        <is>
          <t>SNS・メッセージ共有ボタン</t>
        </is>
      </c>
      <c r="D10" s="16" t="n">
        <v>8</v>
      </c>
      <c r="E10" s="16" t="inlineStr">
        <is>
          <t>中</t>
        </is>
      </c>
      <c r="F10" s="16" t="inlineStr">
        <is>
          <t>Eventbrite は共有1回あたりの売上を自前計測し平均$1.78(Facebook $2.52)、Facebook が2010-10に最大の流入源になった。第三者記事は約$4.15と記し食い違う(時点不明)。Partiful はハロウィーンに1ユーザーあたり6件超のイベントが作られ、ZAIKO は販売の約4割がアーティスト本人の Twitter 経由(幹部発言)。数値は1社・2010年の共有の価値で、成長の増分ではない。</t>
        </is>
      </c>
      <c r="G10" s="16" t="inlineStr">
        <is>
          <t>標準装備</t>
        </is>
      </c>
      <c r="H10" s="16" t="inlineStr">
        <is>
          <t>✅</t>
        </is>
      </c>
      <c r="I10" s="16" t="inlineStr">
        <is>
          <t>GS機能表「Facebook 連携・共有」。TechCrunch 2010-10、Forbes JAPAN 2020-11
https://techcrunch.com/2010/10/14/eventbrite-facebook-share
https://forbesjapan.com/articles/detail/38115</t>
        </is>
      </c>
    </row>
    <row r="11">
      <c r="A11" s="16" t="inlineStr">
        <is>
          <t>3.1 根拠が強い・中、または負の事例が明確なもの(11機能)</t>
        </is>
      </c>
      <c r="B11" s="16" t="inlineStr">
        <is>
          <t>DS07</t>
        </is>
      </c>
      <c r="C11" s="16" t="inlineStr">
        <is>
          <t>公開ディレクトリ・都市×カテゴリページ</t>
        </is>
      </c>
      <c r="D11" s="16" t="n">
        <v>9</v>
      </c>
      <c r="E11" s="16" t="inlineStr">
        <is>
          <t>中</t>
        </is>
      </c>
      <c r="F11" s="16" t="inlineStr">
        <is>
          <t>Eventbrite は創業時の仮説が検索で、2010-03の流入1位は Google 自然検索。構造化データ導入後に検索流入が前年比約+100%上乗せ(Google 事例。他施策と切り分け不能)。10-K FY2025 は Google 自然検索への依存をリスクに記載。こくちーずの「SEOに強い」は自社主張。Google のイベント構造化データの対応言語に日本語の記載がない。</t>
        </is>
      </c>
      <c r="G11" s="16" t="inlineStr">
        <is>
          <t>標準装備</t>
        </is>
      </c>
      <c r="H11" s="16" t="inlineStr">
        <is>
          <t>△</t>
        </is>
      </c>
      <c r="I11" s="16" t="inlineStr">
        <is>
          <t>GSチャネル「SEO・コンテンツ」、参加者獲得 F-2。Google 事例、Google 構造化データ(Event)
https://developers.google.com/search/case-studies/eventbrite-case-study
https://developers.google.com/search/docs/appearance/structured-data/event</t>
        </is>
      </c>
    </row>
    <row r="12">
      <c r="A12" s="16" t="inlineStr">
        <is>
          <t>3.1 根拠が強い・中、または負の事例が明確なもの(11機能)</t>
        </is>
      </c>
      <c r="B12" s="16" t="inlineStr">
        <is>
          <t>DS04</t>
        </is>
      </c>
      <c r="C12" s="16" t="inlineStr">
        <is>
          <t>パーソナライズ推薦</t>
        </is>
      </c>
      <c r="D12" s="16" t="n">
        <v>5</v>
      </c>
      <c r="E12" s="16" t="inlineStr">
        <is>
          <t>中</t>
        </is>
      </c>
      <c r="F12" s="16" t="inlineStr">
        <is>
          <t>Eventbrite は発券の30%超が発見経由(2022年実績)、ML推薦等で発見経由の販売が前年比+10%(2024 Q4)、アプリ利用者は購入確率3倍(2025 Q1)。DICE は販売の41%が Discovery 経由(公式パートナーページ)。GSは「40%超」、参加者獲得は「検索要約のみ・要確認」と記し記述が分かれる。Peatix は約15%(2015)。3社とも自社開示で定義は自社。発見経由の「帰属比率」であって、増分効果ではない。</t>
        </is>
      </c>
      <c r="G12" s="16" t="inlineStr">
        <is>
          <t>差別化</t>
        </is>
      </c>
      <c r="H12" s="16" t="inlineStr">
        <is>
          <t>△</t>
        </is>
      </c>
      <c r="I12" s="16" t="inlineStr">
        <is>
          <t>GS機能表「発見・レコメンド」、参加者獲得「効果の根拠が強いもの・弱いもの」。Eventbrite ブログ 2023-03、DICE パートナー
https://www.eventbrite.com/blog/?p=395362
https://dice.fm/partners/ticketing</t>
        </is>
      </c>
    </row>
    <row r="13">
      <c r="A13" s="16" t="inlineStr">
        <is>
          <t>3.1 根拠が強い・中、または負の事例が明確なもの(11機能)</t>
        </is>
      </c>
      <c r="B13" s="16" t="inlineStr">
        <is>
          <t>FD03</t>
        </is>
      </c>
      <c r="C13" s="16" t="inlineStr">
        <is>
          <t>店舗向け管理画面</t>
        </is>
      </c>
      <c r="D13" s="16" t="n">
        <v>0</v>
      </c>
      <c r="E13" s="16" t="inlineStr">
        <is>
          <t>中(対象15サービス外)</t>
        </is>
      </c>
      <c r="F13" s="16" t="inlineStr">
        <is>
          <t>対象15サービスに専用画面はない(✅0・△4)。根拠は対象外の飲食店SaaS: OpenTable は電子予約台帳で店を先に取り、設置店が2,423(2004)→10,335(2008)(S-1)。TableCheck は月額固定・送客手数料なしで約4,000店(2019)→約11,300店(2025)。単体価値と営業の効果は未分離。</t>
        </is>
      </c>
      <c r="G13" s="16" t="inlineStr">
        <is>
          <t>食事固有</t>
        </is>
      </c>
      <c r="H13" s="16" t="inlineStr">
        <is>
          <t>✅</t>
        </is>
      </c>
      <c r="I13" s="16" t="inlineStr">
        <is>
          <t>GS機能表「供給者の業務ソフトを先行」。OpenTable S-1、TableCheck CEO インタビュー
https://www.sec.gov/Archives/edgar/data/0001125914/000104746909008000/a2194323zs-1.htm
https://www.tablecheck.com/blog/ceo-interview/</t>
        </is>
      </c>
    </row>
    <row r="14">
      <c r="A14" s="16" t="inlineStr">
        <is>
          <t>3.1 根拠が強い・中、または負の事例が明確なもの(11機能)</t>
        </is>
      </c>
      <c r="B14" s="16" t="inlineStr">
        <is>
          <t>MN03</t>
        </is>
      </c>
      <c r="C14" s="16" t="inlineStr">
        <is>
          <t>任意チップ・寄付</t>
        </is>
      </c>
      <c r="D14" s="16" t="n">
        <v>2</v>
      </c>
      <c r="E14" s="16" t="inlineStr">
        <is>
          <t>中(NPO・協会市場)</t>
        </is>
      </c>
      <c r="F14" s="16" t="inlineStr">
        <is>
          <t>Zeffy は無料+任意チップで NPO が約1,000(2021-11)→約30,000(2024-11)(当事者証言。Google Ads が最大の成長要因とも証言)。HelloAsso はチップが2015年に収益の50%。対象15サービスで ✅ は Meetup と Ticket Tailor のみで、根拠は対象外のサービスにある。チップの初期値の見せ方への批判がある(競合発信)。</t>
        </is>
      </c>
      <c r="G14" s="16" t="inlineStr">
        <is>
          <t>差別化(NPO・協会向け)</t>
        </is>
      </c>
      <c r="H14" s="16" t="inlineStr">
        <is>
          <t>❌</t>
        </is>
      </c>
      <c r="I14" s="16" t="inlineStr">
        <is>
          <t>GS機能表「手数料ゼロ+任意チップ」、主催者獲得 O-M1。Product Market Fit Show EP73
https://pmfshow.buzzsprout.com/1889238/episodes/16143484-after-i-passed-this-startup-grew-30x-in-3-years-to-10m-arr-here-s-how-he-did-it-what-i-missed-francois-de-kerret-co-founder-of-zeffy</t>
        </is>
      </c>
    </row>
    <row r="15">
      <c r="A15" s="16" t="inlineStr">
        <is>
          <t>3.2 根拠が弱いもの(31機能)</t>
        </is>
      </c>
      <c r="B15" s="16" t="inlineStr">
        <is>
          <t>DS02</t>
        </is>
      </c>
      <c r="C15" s="16" t="inlineStr">
        <is>
          <t>地域・地図検索</t>
        </is>
      </c>
      <c r="D15" s="16" t="n">
        <v>8</v>
      </c>
      <c r="E15" s="16" t="inlineStr">
        <is>
          <t>弱</t>
        </is>
      </c>
      <c r="F15" s="16" t="inlineStr">
        <is>
          <t>Meetup の創業期設計は ZIP×トピックで5人から成立(2002年〜)。地図検索 UI ではなく「エリア単位で密度を作る」設計の話。Timeleft は小都市で同じ約10人と会い飽きられて縮小した。</t>
        </is>
      </c>
      <c r="G15" s="16" t="inlineStr">
        <is>
          <t>標準装備</t>
        </is>
      </c>
      <c r="H15" s="16" t="inlineStr">
        <is>
          <t>❌</t>
        </is>
      </c>
      <c r="I15" s="16" t="inlineStr">
        <is>
          <t>CSV note(Meetup DS02)、参加者獲得 M-6</t>
        </is>
      </c>
    </row>
    <row r="16">
      <c r="A16" s="16" t="inlineStr">
        <is>
          <t>3.2 根拠が弱いもの(31機能)</t>
        </is>
      </c>
      <c r="B16" s="16" t="inlineStr">
        <is>
          <t>DS08</t>
        </is>
      </c>
      <c r="C16" s="16" t="inlineStr">
        <is>
          <t>キュレーション・特集</t>
        </is>
      </c>
      <c r="D16" s="16" t="n">
        <v>9</v>
      </c>
      <c r="E16" s="16" t="inlineStr">
        <is>
          <t>弱</t>
        </is>
      </c>
      <c r="F16" s="16" t="inlineStr">
        <is>
          <t>DICE は編集者が選んだロンドンの100公演から開始し会場が初日から参加。Partiful は編集チームが審査する Discover を牽引機能に挙げ、Luma は人手と自動で都市面を編成する。複数サービスが初期に使うが、効果の数値はない。</t>
        </is>
      </c>
      <c r="G16" s="16" t="inlineStr">
        <is>
          <t>標準装備</t>
        </is>
      </c>
      <c r="H16" s="16" t="inlineStr">
        <is>
          <t>✅*</t>
        </is>
      </c>
      <c r="I16" s="16" t="inlineStr">
        <is>
          <t>CSV note(DICE・Partiful の DS08)。TechCrunch 2014-09
https://techcrunch.com/2014/09/18/dice/amp/</t>
        </is>
      </c>
    </row>
    <row r="17">
      <c r="A17" s="16" t="inlineStr">
        <is>
          <t>3.2 根拠が弱いもの(31機能)</t>
        </is>
      </c>
      <c r="B17" s="16" t="inlineStr">
        <is>
          <t>JN01</t>
        </is>
      </c>
      <c r="C17" s="16" t="inlineStr">
        <is>
          <t>アカウント不要の申込</t>
        </is>
      </c>
      <c r="D17" s="16" t="n">
        <v>4</v>
      </c>
      <c r="E17" s="16" t="inlineStr">
        <is>
          <t>弱</t>
        </is>
      </c>
      <c r="F17" s="16" t="inlineStr">
        <is>
          <t>Luma・Partiful・Doorkeeper(メールのみ)・Sympla(匿名購入)が採用し、創業者・CEO が牽引機能と説明するが数値はない。反例: Meetup・DICE・Posh・Peatix・connpass はアカウント必須で成長した。こくちーずは2023-04に会員登録必須化した後も会員数が30万(2020-02)→94万(2025-11)と増えたが、必須化は会員数を押し上げるため指標として歪む [推測]。</t>
        </is>
      </c>
      <c r="G17" s="16" t="inlineStr">
        <is>
          <t>差別化</t>
        </is>
      </c>
      <c r="H17" s="16" t="inlineStr">
        <is>
          <t>❌</t>
        </is>
      </c>
      <c r="I17" s="16" t="inlineStr">
        <is>
          <t>GS機能表「アカウント不要の RSVP・匿名購入」、CSV note(Doorkeeper・Luma・Partiful の JN01)、参加者獲得 F-1。こくちーず お知らせ
https://www.kokuchpro.com/group/members/news/</t>
        </is>
      </c>
    </row>
    <row r="18">
      <c r="A18" s="16" t="inlineStr">
        <is>
          <t>3.2 根拠が弱いもの(31機能)</t>
        </is>
      </c>
      <c r="B18" s="16" t="inlineStr">
        <is>
          <t>JN04</t>
        </is>
      </c>
      <c r="C18" s="16" t="inlineStr">
        <is>
          <t>ウェイトリスト</t>
        </is>
      </c>
      <c r="D18" s="16" t="n">
        <v>9</v>
      </c>
      <c r="E18" s="16" t="inlineStr">
        <is>
          <t>弱</t>
        </is>
      </c>
      <c r="F18" s="16" t="inlineStr">
        <is>
          <t>Fever は公開前ウェイトリスト12,000人超で$60の体験が数日で完売(2018。Fever は対象外)。DICE は売り切れ後の再配分と需要検証に使う。いずれも自社主張で、残席のない時の機会損失を測った数値はない。GSは「弱〜中」。</t>
        </is>
      </c>
      <c r="G18" s="16" t="inlineStr">
        <is>
          <t>標準装備</t>
        </is>
      </c>
      <c r="H18" s="16" t="inlineStr">
        <is>
          <t>❌</t>
        </is>
      </c>
      <c r="I18" s="16" t="inlineStr">
        <is>
          <t>GS機能表「ウェイトリスト・事前登録」。TechCrunch 2018-07
https://techcrunch.com/2018/07/05/fever-gets-20m-to-delight-more-hipsters-with-a-b-tested-madhatters-gt-parties</t>
        </is>
      </c>
    </row>
    <row r="19">
      <c r="A19" s="16" t="inlineStr">
        <is>
          <t>3.2 根拠が弱いもの(31機能)</t>
        </is>
      </c>
      <c r="B19" s="16" t="inlineStr">
        <is>
          <t>JN09</t>
        </is>
      </c>
      <c r="C19" s="16" t="inlineStr">
        <is>
          <t>開催前リマインド</t>
        </is>
      </c>
      <c r="D19" s="16" t="n">
        <v>11</v>
      </c>
      <c r="E19" s="16" t="inlineStr">
        <is>
          <t>弱</t>
        </is>
      </c>
      <c r="F19" s="16" t="inlineStr">
        <is>
          <t>connpass の前日メールに「通知メール」の根拠が付いたが、実体は通知メール全般(CR01)。リマインドによる出席率改善値は全サービスで確認できていない。</t>
        </is>
      </c>
      <c r="G19" s="16" t="inlineStr">
        <is>
          <t>標準装備</t>
        </is>
      </c>
      <c r="H19" s="16" t="inlineStr">
        <is>
          <t>✅*</t>
        </is>
      </c>
      <c r="I19" s="16" t="inlineStr">
        <is>
          <t>CSV note(connpass JN09)、参加者獲得 F-6</t>
        </is>
      </c>
    </row>
    <row r="20">
      <c r="A20" s="16" t="inlineStr">
        <is>
          <t>3.2 根拠が弱いもの(31機能)</t>
        </is>
      </c>
      <c r="B20" s="16" t="inlineStr">
        <is>
          <t>SH03</t>
        </is>
      </c>
      <c r="C20" s="16" t="inlineStr">
        <is>
          <t>友人・同行者の招待導線</t>
        </is>
      </c>
      <c r="D20" s="16" t="n">
        <v>8</v>
      </c>
      <c r="E20" s="16" t="inlineStr">
        <is>
          <t>弱</t>
        </is>
      </c>
      <c r="F20" s="16" t="inlineStr">
        <is>
          <t>Partiful の招待リンクのバイラル、Posh の Kickback、Peatix の2014年の拡散割引(チケット10%)。紹介経由の比率・k-factor はどのサービスも非公開。ストアカの友達招待(100pt/3,000pt)は効果の定量値なし。</t>
        </is>
      </c>
      <c r="G20" s="16" t="inlineStr">
        <is>
          <t>標準装備</t>
        </is>
      </c>
      <c r="H20" s="16" t="inlineStr">
        <is>
          <t>△*</t>
        </is>
      </c>
      <c r="I20" s="16" t="inlineStr">
        <is>
          <t>CSV note(Posh・ストアカの SH03)、参加者獲得 F-7</t>
        </is>
      </c>
    </row>
    <row r="21">
      <c r="A21" s="16" t="inlineStr">
        <is>
          <t>3.2 根拠が弱いもの(31機能)</t>
        </is>
      </c>
      <c r="B21" s="16" t="inlineStr">
        <is>
          <t>SH04</t>
        </is>
      </c>
      <c r="C21" s="16" t="inlineStr">
        <is>
          <t>紹介リンク・紹介の可視化</t>
        </is>
      </c>
      <c r="D21" s="16" t="n">
        <v>4</v>
      </c>
      <c r="E21" s="16" t="inlineStr">
        <is>
          <t>弱</t>
        </is>
      </c>
      <c r="F21" s="16" t="inlineStr">
        <is>
          <t>Posh の Kickback は紹介の売上・コンバージョンを追跡して報酬を払う(Posh が20%徴収)。紹介者が過去1年に計$25万超は自社主張で、紹介経由の売上比は非公開。Luma の Event Referrals は報酬なしの可視化のみ。</t>
        </is>
      </c>
      <c r="G21" s="16" t="inlineStr">
        <is>
          <t>差別化</t>
        </is>
      </c>
      <c r="H21" s="16" t="inlineStr">
        <is>
          <t>❌</t>
        </is>
      </c>
      <c r="I21" s="16" t="inlineStr">
        <is>
          <t>CSV note(Posh SH04)、主催者獲得 O-M5</t>
        </is>
      </c>
    </row>
    <row r="22">
      <c r="A22" s="16" t="inlineStr">
        <is>
          <t>3.2 根拠が弱いもの(31機能)</t>
        </is>
      </c>
      <c r="B22" s="16" t="inlineStr">
        <is>
          <t>SH05</t>
        </is>
      </c>
      <c r="C22" s="16" t="inlineStr">
        <is>
          <t>連絡先・SNS連携で友人発見</t>
        </is>
      </c>
      <c r="D22" s="16" t="n">
        <v>5</v>
      </c>
      <c r="E22" s="16" t="inlineStr">
        <is>
          <t>弱</t>
        </is>
      </c>
      <c r="F22" s="16" t="inlineStr">
        <is>
          <t>Humanitix の Facebook Events 連携で成長400〜500%(自社主張・実数非開示)。Meta は2018年に Events API を新規開発者へ閉鎖しており、外部ソーシャルグラフへの依存は一方的に断たれうる。</t>
        </is>
      </c>
      <c r="G22" s="16" t="inlineStr">
        <is>
          <t>差別化</t>
        </is>
      </c>
      <c r="H22" s="16" t="inlineStr">
        <is>
          <t>△*</t>
        </is>
      </c>
      <c r="I22" s="16" t="inlineStr">
        <is>
          <t>GS機能表「Facebook Events 連携」、参加者獲得 F-4。Facebook for Developers
https://developers.facebook.com/blog/post/2018/04/04/facebook-api-platform-product-changes/</t>
        </is>
      </c>
    </row>
    <row r="23">
      <c r="A23" s="16" t="inlineStr">
        <is>
          <t>3.2 根拠が弱いもの(31機能)</t>
        </is>
      </c>
      <c r="B23" s="16" t="inlineStr">
        <is>
          <t>SH06</t>
        </is>
      </c>
      <c r="C23" s="16" t="inlineStr">
        <is>
          <t>社会的証明の表示</t>
        </is>
      </c>
      <c r="D23" s="16" t="n">
        <v>11</v>
      </c>
      <c r="E23" s="16" t="inlineStr">
        <is>
          <t>弱</t>
        </is>
      </c>
      <c r="F23" s="16" t="inlineStr">
        <is>
          <t>Pie は友人・友人の友人の参加予定フィードへの変更(2025-12)後に、アプリ滞在が2分→10分(自社発言)。指標は獲得ではなく滞在時間。</t>
        </is>
      </c>
      <c r="G23" s="16" t="inlineStr">
        <is>
          <t>標準装備</t>
        </is>
      </c>
      <c r="H23" s="16" t="inlineStr">
        <is>
          <t>✅</t>
        </is>
      </c>
      <c r="I23" s="16" t="inlineStr">
        <is>
          <t>CSV note(Pie SH06)。TechCrunch 2026-08
https://techcrunch.com/?p=3156057</t>
        </is>
      </c>
    </row>
    <row r="24">
      <c r="A24" s="16" t="inlineStr">
        <is>
          <t>3.2 根拠が弱いもの(31機能)</t>
        </is>
      </c>
      <c r="B24" s="16" t="inlineStr">
        <is>
          <t>SH08</t>
        </is>
      </c>
      <c r="C24" s="16" t="inlineStr">
        <is>
          <t>埋め込みウィジェット</t>
        </is>
      </c>
      <c r="D24" s="16" t="n">
        <v>7</v>
      </c>
      <c r="E24" s="16" t="inlineStr">
        <is>
          <t>弱</t>
        </is>
      </c>
      <c r="F24" s="16" t="inlineStr">
        <is>
          <t>Ticket Tailor の Wix・WordPress 連携(創業者発言)と Luma の埋め込み+Tech Weeks が近い例。CSV では OP12 に付与された根拠で、SH08 単独の数値はない。</t>
        </is>
      </c>
      <c r="G24" s="16" t="inlineStr">
        <is>
          <t>標準装備に近い(7)</t>
        </is>
      </c>
      <c r="H24" s="16" t="inlineStr">
        <is>
          <t>❌</t>
        </is>
      </c>
      <c r="I24" s="16" t="inlineStr">
        <is>
          <t>CSV note(Ticket Tailor OP12)</t>
        </is>
      </c>
    </row>
    <row r="25">
      <c r="A25" s="16" t="inlineStr">
        <is>
          <t>3.2 根拠が弱いもの(31機能)</t>
        </is>
      </c>
      <c r="B25" s="16" t="inlineStr">
        <is>
          <t>OP01</t>
        </is>
      </c>
      <c r="C25" s="16" t="inlineStr">
        <is>
          <t>簡単な作成</t>
        </is>
      </c>
      <c r="D25" s="16" t="n">
        <v>10</v>
      </c>
      <c r="E25" s="16" t="inlineStr">
        <is>
          <t>弱</t>
        </is>
      </c>
      <c r="F25" s="16" t="inlineStr">
        <is>
          <t>こくちーず(登録のみで告知・申込)・Partiful(テンプレートとデザイン)・Luma が牽引機能と説明されるが因果は不明。Eventbrite の主催者の95%超は自己登録(2017)。</t>
        </is>
      </c>
      <c r="G25" s="16" t="inlineStr">
        <is>
          <t>標準装備</t>
        </is>
      </c>
      <c r="H25" s="16" t="inlineStr">
        <is>
          <t>✅*</t>
        </is>
      </c>
      <c r="I25" s="16" t="inlineStr">
        <is>
          <t>CSV note(こくちーず・Partiful の OP01)、GSチャネル「主催者・供給側へのアウトリーチ」</t>
        </is>
      </c>
    </row>
    <row r="26">
      <c r="A26" s="16" t="inlineStr">
        <is>
          <t>3.2 根拠が弱いもの(31機能)</t>
        </is>
      </c>
      <c r="B26" s="16" t="inlineStr">
        <is>
          <t>OP07</t>
        </is>
      </c>
      <c r="C26" s="16" t="inlineStr">
        <is>
          <t>一斉メッセージ</t>
        </is>
      </c>
      <c r="D26" s="16" t="n">
        <v>10</v>
      </c>
      <c r="E26" s="16" t="inlineStr">
        <is>
          <t>弱</t>
        </is>
      </c>
      <c r="F26" s="16" t="inlineStr">
        <is>
          <t>connpass のグループ通知として CR02 の連鎖に含まれる。独立した根拠はなく、2026-11からの月7,000通の上限が主催者の行動に与える影響は未確認。</t>
        </is>
      </c>
      <c r="G26" s="16" t="inlineStr">
        <is>
          <t>標準装備</t>
        </is>
      </c>
      <c r="H26" s="16" t="inlineStr">
        <is>
          <t>✅</t>
        </is>
      </c>
      <c r="I26" s="16" t="inlineStr">
        <is>
          <t>CSV note(connpass OP07)</t>
        </is>
      </c>
    </row>
    <row r="27">
      <c r="A27" s="16" t="inlineStr">
        <is>
          <t>3.2 根拠が弱いもの(31機能)</t>
        </is>
      </c>
      <c r="B27" s="16" t="inlineStr">
        <is>
          <t>OP10</t>
        </is>
      </c>
      <c r="C27" s="16" t="inlineStr">
        <is>
          <t>流入・申込の分析</t>
        </is>
      </c>
      <c r="D27" s="16" t="n">
        <v>9</v>
      </c>
      <c r="E27" s="16" t="inlineStr">
        <is>
          <t>弱</t>
        </is>
      </c>
      <c r="F27" s="16" t="inlineStr">
        <is>
          <t>Meetup Pro は「RSVP +40%・会員+50%・エンゲージメント+400%」と主張(基準・方法は非開示)。Luma の Insights は紹介者を可視化し主催者に感謝を勧める。</t>
        </is>
      </c>
      <c r="G27" s="16" t="inlineStr">
        <is>
          <t>標準装備</t>
        </is>
      </c>
      <c r="H27" s="16" t="inlineStr">
        <is>
          <t>❌</t>
        </is>
      </c>
      <c r="I27" s="16" t="inlineStr">
        <is>
          <t>主催者獲得 O-F5(自社主張)</t>
        </is>
      </c>
    </row>
    <row r="28">
      <c r="A28" s="16" t="inlineStr">
        <is>
          <t>3.2 根拠が弱いもの(31機能)</t>
        </is>
      </c>
      <c r="B28" s="16" t="inlineStr">
        <is>
          <t>OP11</t>
        </is>
      </c>
      <c r="C28" s="16" t="inlineStr">
        <is>
          <t>主催者ページ・グループページ</t>
        </is>
      </c>
      <c r="D28" s="16" t="n">
        <v>14</v>
      </c>
      <c r="E28" s="16" t="inlineStr">
        <is>
          <t>弱</t>
        </is>
      </c>
      <c r="F28" s="16" t="inlineStr">
        <is>
          <t>Luma の Calendar と Tech Weeks(都市単位の束ね)が牽引機能に挙がるが数値はない。CR02 の連鎖を載せる「器」でもある。</t>
        </is>
      </c>
      <c r="G28" s="16" t="inlineStr">
        <is>
          <t>標準装備</t>
        </is>
      </c>
      <c r="H28" s="16" t="inlineStr">
        <is>
          <t>✅</t>
        </is>
      </c>
      <c r="I28" s="16" t="inlineStr">
        <is>
          <t>CSV note(Luma OP11)</t>
        </is>
      </c>
    </row>
    <row r="29">
      <c r="A29" s="16" t="inlineStr">
        <is>
          <t>3.2 根拠が弱いもの(31機能)</t>
        </is>
      </c>
      <c r="B29" s="16" t="inlineStr">
        <is>
          <t>OP12</t>
        </is>
      </c>
      <c r="C29" s="16" t="inlineStr">
        <is>
          <t>外部ツール連携・API</t>
        </is>
      </c>
      <c r="D29" s="16" t="n">
        <v>5</v>
      </c>
      <c r="E29" s="16" t="inlineStr">
        <is>
          <t>弱</t>
        </is>
      </c>
      <c r="F29" s="16" t="inlineStr">
        <is>
          <t>Ticket Tailor の創業者は Wix・WordPress 連携で発見性を確保したと発言。Eatwith は TripAdvisor 等のパートナー掲載を成長経路として既存ノートに記載。TECH PLAY は API 無料公開の背景に二重登録の負担を挙げる。</t>
        </is>
      </c>
      <c r="G29" s="16" t="inlineStr">
        <is>
          <t>差別化</t>
        </is>
      </c>
      <c r="H29" s="16" t="inlineStr">
        <is>
          <t>✅*</t>
        </is>
      </c>
      <c r="I29" s="16" t="inlineStr">
        <is>
          <t>CSV note(Ticket Tailor・Eatwith の OP12)、主催者獲得 O-F7</t>
        </is>
      </c>
    </row>
    <row r="30">
      <c r="A30" s="16" t="inlineStr">
        <is>
          <t>3.2 根拠が弱いもの(31機能)</t>
        </is>
      </c>
      <c r="B30" s="16" t="inlineStr">
        <is>
          <t>AC02</t>
        </is>
      </c>
      <c r="C30" s="16" t="inlineStr">
        <is>
          <t>手数料負担の選択</t>
        </is>
      </c>
      <c r="D30" s="16" t="n">
        <v>2</v>
      </c>
      <c r="E30" s="16" t="inlineStr">
        <is>
          <t>弱</t>
        </is>
      </c>
      <c r="F30" s="16" t="inlineStr">
        <is>
          <t>ZAIKO は「手数料負担先の選択」を牽引要素の一つとするが、2020年の配信特需と切り分けられない。対象15サービスでは Eventbrite・Ticket Tailor が ✅、Luma は上乗せ不可と明記(❌)。</t>
        </is>
      </c>
      <c r="G30" s="16" t="inlineStr">
        <is>
          <t>供給側の誘因(差別化)</t>
        </is>
      </c>
      <c r="H30" s="16" t="inlineStr">
        <is>
          <t>✅</t>
        </is>
      </c>
      <c r="I30" s="16" t="inlineStr">
        <is>
          <t>GS比較表C「ZAIKO」</t>
        </is>
      </c>
    </row>
    <row r="31">
      <c r="A31" s="16" t="inlineStr">
        <is>
          <t>3.2 根拠が弱いもの(31機能)</t>
        </is>
      </c>
      <c r="B31" s="16" t="inlineStr">
        <is>
          <t>AC04</t>
        </is>
      </c>
      <c r="C31" s="16" t="inlineStr">
        <is>
          <t>他サービスからの移行</t>
        </is>
      </c>
      <c r="D31" s="16" t="n">
        <v>1</v>
      </c>
      <c r="E31" s="16" t="inlineStr">
        <is>
          <t>弱</t>
        </is>
      </c>
      <c r="F31" s="16" t="inlineStr">
        <is>
          <t>Peatix(ATND 閉鎖時の初回手数料無料+データ移行、2020-01)、Doorkeeper(1年無料)、Ticket Tailor・Luma・Posh が競合の撤退・買収・値上げを乗換え訴求に使う。効果の数値はなく、Posh の「移行が加速」は自社主張。恒常的なインポート機能は稀(✅1)。</t>
        </is>
      </c>
      <c r="G31" s="16" t="inlineStr">
        <is>
          <t>供給側の誘因(差別化)</t>
        </is>
      </c>
      <c r="H31" s="16" t="inlineStr">
        <is>
          <t>❌</t>
        </is>
      </c>
      <c r="I31" s="16" t="inlineStr">
        <is>
          <t>CSV note(Peatix・Doorkeeper の AC04)、主催者獲得 O-M4。Impress Internet Watch
https://internet.watch.impress.co.jp/docs/yajiuma/1229961.html</t>
        </is>
      </c>
    </row>
    <row r="32">
      <c r="A32" s="16" t="inlineStr">
        <is>
          <t>3.2 根拠が弱いもの(31機能)</t>
        </is>
      </c>
      <c r="B32" s="16" t="inlineStr">
        <is>
          <t>AC05</t>
        </is>
      </c>
      <c r="C32" s="16" t="inlineStr">
        <is>
          <t>主催者紹介・アンバサダー</t>
        </is>
      </c>
      <c r="D32" s="16" t="n">
        <v>4</v>
      </c>
      <c r="E32" s="16" t="inlineStr">
        <is>
          <t>弱(逆の証言あり)</t>
        </is>
      </c>
      <c r="F32" s="16" t="inlineStr">
        <is>
          <t>Posh(新規主催者の手数料の10%を12か月)、Pie(Creator Fund $1M・RSVP1件$5〜10。約23,000人(2024-10)→13万MAU(2025-03)は相関のみで、MAU の報は出典間で定義が揃わない)、트레바리(売上連動のクラブ長報酬)が採用。一方 Ticket Tailor の創業者は紹介インセンティブは効かなかったと述べた。紹介経由の主催者比率は非公開。</t>
        </is>
      </c>
      <c r="G32" s="16" t="inlineStr">
        <is>
          <t>供給側の誘因</t>
        </is>
      </c>
      <c r="H32" s="16" t="inlineStr">
        <is>
          <t>❌</t>
        </is>
      </c>
      <c r="I32" s="16" t="inlineStr">
        <is>
          <t>GS機能表「売上連動の報酬制リーダー・主催者」、CSV note(Ticket Tailor AC05、Pie AC05)。TechCrunch 2024-11、Posh Organizer Affiliate
https://techcrunch.com/2024/11/19/irl-social-app-pie-is-coming-to-sf-to-make-you-less-lonely
https://university.posh.vip/university/post/posh-affiliate-program</t>
        </is>
      </c>
    </row>
    <row r="33">
      <c r="A33" s="16" t="inlineStr">
        <is>
          <t>3.2 根拠が弱いもの(31機能)</t>
        </is>
      </c>
      <c r="B33" s="16" t="inlineStr">
        <is>
          <t>AC06</t>
        </is>
      </c>
      <c r="C33" s="16" t="inlineStr">
        <is>
          <t>主催者向け教育・テンプレ</t>
        </is>
      </c>
      <c r="D33" s="16" t="n">
        <v>13</v>
      </c>
      <c r="E33" s="16" t="inlineStr">
        <is>
          <t>弱</t>
        </is>
      </c>
      <c r="F33" s="16" t="inlineStr">
        <is>
          <t>ストアカは地域コーディネーターの個別伴走で立ち上げ(北九州で登録講座約30)、Eventbrite の目論見書はコンテンツライブラリを獲得経路に挙げる。ガイド・テンプレ・事例の定量効果はどのサービスも非公開(Eventbrite の「63%多い」は因果不明)。普及度は13でも根拠は弱い。</t>
        </is>
      </c>
      <c r="G33" s="16" t="inlineStr">
        <is>
          <t>標準装備(供給側の誘因)</t>
        </is>
      </c>
      <c r="H33" s="16" t="inlineStr">
        <is>
          <t>✅*</t>
        </is>
      </c>
      <c r="I33" s="16" t="inlineStr">
        <is>
          <t>主催者獲得 O-M9・「主催者の三つの層」、CSV note(ストアカ AC06)</t>
        </is>
      </c>
    </row>
    <row r="34">
      <c r="A34" s="16" t="inlineStr">
        <is>
          <t>3.2 根拠が弱いもの(31機能)</t>
        </is>
      </c>
      <c r="B34" s="16" t="inlineStr">
        <is>
          <t>AC07</t>
        </is>
      </c>
      <c r="C34" s="16" t="inlineStr">
        <is>
          <t>集客支援の商品</t>
        </is>
      </c>
      <c r="D34" s="16" t="n">
        <v>3</v>
      </c>
      <c r="E34" s="16" t="inlineStr">
        <is>
          <t>弱</t>
        </is>
      </c>
      <c r="F34" s="16" t="inlineStr">
        <is>
          <t>Eventbrite は「プレミアムなマーケティングツールを使ったイベントは販売チケットが63%多い」と述べるが因果は不明。こくちーずは有料の上位表示(約3か月)・広告商品を持つが、成長への寄与を示す記述はない。</t>
        </is>
      </c>
      <c r="G34" s="16" t="inlineStr">
        <is>
          <t>供給側の誘因(収益化)</t>
        </is>
      </c>
      <c r="H34" s="16" t="inlineStr">
        <is>
          <t>△</t>
        </is>
      </c>
      <c r="I34" s="16" t="inlineStr">
        <is>
          <t>CSV note(Eventbrite AC07)、主催者獲得 O-M9</t>
        </is>
      </c>
    </row>
    <row r="35">
      <c r="A35" s="16" t="inlineStr">
        <is>
          <t>3.2 根拠が弱いもの(31機能)</t>
        </is>
      </c>
      <c r="B35" s="16" t="inlineStr">
        <is>
          <t>CR04</t>
        </is>
      </c>
      <c r="C35" s="16" t="inlineStr">
        <is>
          <t>主催者CRM・購読者リスト</t>
        </is>
      </c>
      <c r="D35" s="16" t="n">
        <v>6</v>
      </c>
      <c r="E35" s="16" t="inlineStr">
        <is>
          <t>弱</t>
        </is>
      </c>
      <c r="F35" s="16" t="inlineStr">
        <is>
          <t>ストアカの月額サービス(2021-01)が定期・会員施策として自己申告で挙がる。CRM 単体の効果は不明。定期・会員モデルは3.4で扱う。</t>
        </is>
      </c>
      <c r="G35" s="16" t="inlineStr">
        <is>
          <t>標準装備に近い(6)</t>
        </is>
      </c>
      <c r="H35" s="16" t="inlineStr">
        <is>
          <t>✅</t>
        </is>
      </c>
      <c r="I35" s="16" t="inlineStr">
        <is>
          <t>CSV note(ストアカ CR04)</t>
        </is>
      </c>
    </row>
    <row r="36">
      <c r="A36" s="16" t="inlineStr">
        <is>
          <t>3.2 根拠が弱いもの(31機能)</t>
        </is>
      </c>
      <c r="B36" s="16" t="inlineStr">
        <is>
          <t>CR05</t>
        </is>
      </c>
      <c r="C36" s="16" t="inlineStr">
        <is>
          <t>参加履歴・バッジ・実績</t>
        </is>
      </c>
      <c r="D36" s="16" t="n">
        <v>2</v>
      </c>
      <c r="E36" s="16" t="inlineStr">
        <is>
          <t>弱</t>
        </is>
      </c>
      <c r="F36" s="16" t="inlineStr">
        <is>
          <t>ストアカは公式がバッジを「信用の証」で予約が入りやすいと説明(自社主張・数値なし)。Eventbrite の Top Organizer バッジ(2026-04)、문토の選抜ホストは効果値なし。</t>
        </is>
      </c>
      <c r="G36" s="16" t="inlineStr">
        <is>
          <t>差別化</t>
        </is>
      </c>
      <c r="H36" s="16" t="inlineStr">
        <is>
          <t>✅</t>
        </is>
      </c>
      <c r="I36" s="16" t="inlineStr">
        <is>
          <t>CSV note(ストアカ CR05)、主催者獲得 O-F11。ストアカ バッジ
https://www.street-academy.com/badge</t>
        </is>
      </c>
    </row>
    <row r="37">
      <c r="A37" s="16" t="inlineStr">
        <is>
          <t>3.2 根拠が弱いもの(31機能)</t>
        </is>
      </c>
      <c r="B37" s="16" t="inlineStr">
        <is>
          <t>CR06</t>
        </is>
      </c>
      <c r="C37" s="16" t="inlineStr">
        <is>
          <t>レビュー・評価</t>
        </is>
      </c>
      <c r="D37" s="16" t="n">
        <v>5</v>
      </c>
      <c r="E37" s="16" t="inlineStr">
        <is>
          <t>弱</t>
        </is>
      </c>
      <c r="F37" s="16" t="inlineStr">
        <is>
          <t>ストアカは実名・審査・レビューの安心設計を成長の説明に使い、直近レビュー数を検索順位の評価軸にする(数値なし)。Timeleft は事後の相性評価をマッチングに反映する。</t>
        </is>
      </c>
      <c r="G37" s="16" t="inlineStr">
        <is>
          <t>差別化</t>
        </is>
      </c>
      <c r="H37" s="16" t="inlineStr">
        <is>
          <t>❌</t>
        </is>
      </c>
      <c r="I37" s="16" t="inlineStr">
        <is>
          <t>CSV note(ストアカ CR06)、GS各社「ストアカ」</t>
        </is>
      </c>
    </row>
    <row r="38">
      <c r="A38" s="16" t="inlineStr">
        <is>
          <t>3.2 根拠が弱いもの(31機能)</t>
        </is>
      </c>
      <c r="B38" s="16" t="inlineStr">
        <is>
          <t>CR07</t>
        </is>
      </c>
      <c r="C38" s="16" t="inlineStr">
        <is>
          <t>グループチャット・掲示板</t>
        </is>
      </c>
      <c r="D38" s="16" t="n">
        <v>9</v>
      </c>
      <c r="E38" s="16" t="inlineStr">
        <is>
          <t>弱</t>
        </is>
      </c>
      <c r="F38" s="16" t="inlineStr">
        <is>
          <t>効いたと説明されるのはチャット単体ではなく卓編成: Timeleft は固定曜日・6人卓の型で拡大し、新フォーマットで月平均利用が1.4→2.2回(創業者発言。どの機能の寄与か出典に明記なし)。Pie は AI クイズ・6人グループを成長要因として既存ノートに記載。</t>
        </is>
      </c>
      <c r="G38" s="16" t="inlineStr">
        <is>
          <t>標準装備</t>
        </is>
      </c>
      <c r="H38" s="16" t="inlineStr">
        <is>
          <t>✅</t>
        </is>
      </c>
      <c r="I38" s="16" t="inlineStr">
        <is>
          <t>CSV note(Timeleft・Pie の CR07)、GS機能表「定期・会員・コミットメント」</t>
        </is>
      </c>
    </row>
    <row r="39">
      <c r="A39" s="16" t="inlineStr">
        <is>
          <t>3.2 根拠が弱いもの(31機能)</t>
        </is>
      </c>
      <c r="B39" s="16" t="inlineStr">
        <is>
          <t>TS02</t>
        </is>
      </c>
      <c r="C39" s="16" t="inlineStr">
        <is>
          <t>主催者の審査・認定</t>
        </is>
      </c>
      <c r="D39" s="16" t="n">
        <v>5</v>
      </c>
      <c r="E39" s="16" t="inlineStr">
        <is>
          <t>弱</t>
        </is>
      </c>
      <c r="F39" s="16" t="inlineStr">
        <is>
          <t>ストアカは実名・審査・レビューの安心設計を成長の説明に使う(数値なし)。逆に重い審査(machicon JAPAN の8段階審査)は主催者の裾野を狭めるという指摘が GS にある [推測]。</t>
        </is>
      </c>
      <c r="G39" s="16" t="inlineStr">
        <is>
          <t>差別化</t>
        </is>
      </c>
      <c r="H39" s="16" t="inlineStr">
        <is>
          <t>✅</t>
        </is>
      </c>
      <c r="I39" s="16" t="inlineStr">
        <is>
          <t>GS示唆(d)、CSV note(ストアカ TS06)</t>
        </is>
      </c>
    </row>
    <row r="40">
      <c r="A40" s="16" t="inlineStr">
        <is>
          <t>3.2 根拠が弱いもの(31機能)</t>
        </is>
      </c>
      <c r="B40" s="16" t="inlineStr">
        <is>
          <t>TS04</t>
        </is>
      </c>
      <c r="C40" s="16" t="inlineStr">
        <is>
          <t>ドタキャン対策</t>
        </is>
      </c>
      <c r="D40" s="16" t="n">
        <v>11</v>
      </c>
      <c r="E40" s="16" t="inlineStr">
        <is>
          <t>弱</t>
        </is>
      </c>
      <c r="F40" s="16" t="inlineStr">
        <is>
          <t>Timeleft は欠席料(1か月サブスクの35%、米国除く)等を導入したが、成長との関係を示す数値はない。</t>
        </is>
      </c>
      <c r="G40" s="16" t="inlineStr">
        <is>
          <t>標準装備</t>
        </is>
      </c>
      <c r="H40" s="16" t="inlineStr">
        <is>
          <t>✅</t>
        </is>
      </c>
      <c r="I40" s="16" t="inlineStr">
        <is>
          <t>CSV note(Timeleft TS04)、参加者獲得 F-10</t>
        </is>
      </c>
    </row>
    <row r="41">
      <c r="A41" s="16" t="inlineStr">
        <is>
          <t>3.2 根拠が弱いもの(31機能)</t>
        </is>
      </c>
      <c r="B41" s="16" t="inlineStr">
        <is>
          <t>TS06</t>
        </is>
      </c>
      <c r="C41" s="16" t="inlineStr">
        <is>
          <t>直接取引の抑止</t>
        </is>
      </c>
      <c r="D41" s="16" t="n">
        <v>3</v>
      </c>
      <c r="E41" s="16" t="inlineStr">
        <is>
          <t>弱(負あり)</t>
        </is>
      </c>
      <c r="F41" s="16" t="inlineStr">
        <is>
          <t>ストアカは外部誘導・直接徴収を禁止して安心設計の一部としたが、講師側の不満が出た(数値なし)。Partiful は外部リンクを禁止し、Posh は他社チケットの掲載を許容する。</t>
        </is>
      </c>
      <c r="G41" s="16" t="inlineStr">
        <is>
          <t>差別化</t>
        </is>
      </c>
      <c r="H41" s="16" t="inlineStr">
        <is>
          <t>❌</t>
        </is>
      </c>
      <c r="I41" s="16" t="inlineStr">
        <is>
          <t>CSV note(ストアカ TS06)、GS示唆(d)。ストアカ ガイドライン
https://www.street-academy.com/guideline</t>
        </is>
      </c>
    </row>
    <row r="42">
      <c r="A42" s="16" t="inlineStr">
        <is>
          <t>3.2 根拠が弱いもの(31機能)</t>
        </is>
      </c>
      <c r="B42" s="16" t="inlineStr">
        <is>
          <t>FD01</t>
        </is>
      </c>
      <c r="C42" s="16" t="inlineStr">
        <is>
          <t>メニューの事前注文・選択</t>
        </is>
      </c>
      <c r="D42" s="16" t="n">
        <v>1</v>
      </c>
      <c r="E42" s="16" t="inlineStr">
        <is>
          <t>弱</t>
        </is>
      </c>
      <c r="F42" s="16" t="inlineStr">
        <is>
          <t>対象15サービスには根拠がない(Timeleft は事前注文なしと確認済み)。対象外の飲食店SaaS では SevenRooms が前払い体験で per-cover 支出+50%、Tock が no-show 抑制を主張(いずれもベンダー自己申告)。</t>
        </is>
      </c>
      <c r="G42" s="16" t="inlineStr">
        <is>
          <t>食事固有</t>
        </is>
      </c>
      <c r="H42" s="16" t="inlineStr">
        <is>
          <t>✅</t>
        </is>
      </c>
      <c r="I42" s="16" t="inlineStr">
        <is>
          <t>主催者獲得 O-F9・失敗条件(ベンダー自己申告)。SevenRooms
https://sevenrooms.com/platform/events-experiences/</t>
        </is>
      </c>
    </row>
    <row r="43">
      <c r="A43" s="16" t="inlineStr">
        <is>
          <t>3.2 根拠が弱いもの(31機能)</t>
        </is>
      </c>
      <c r="B43" s="16" t="inlineStr">
        <is>
          <t>FD04</t>
        </is>
      </c>
      <c r="C43" s="16" t="inlineStr">
        <is>
          <t>人数確定の店舗通知・集計</t>
        </is>
      </c>
      <c r="D43" s="16" t="n">
        <v>0</v>
      </c>
      <c r="E43" s="16" t="inlineStr">
        <is>
          <t>弱</t>
        </is>
      </c>
      <c r="F43" s="16" t="inlineStr">
        <is>
          <t>対象15サービスに根拠なし。対象外の SevenRooms は予約者のメニュー事前選択を厨房へ集計共有する(自社主張)。店舗向けの営業フックは新規客・前払いによる収益確定・閑散時間帯の充填と整理されている [推測]。成長への効きを示す数値はない。</t>
        </is>
      </c>
      <c r="G43" s="16" t="inlineStr">
        <is>
          <t>食事固有</t>
        </is>
      </c>
      <c r="H43" s="16" t="inlineStr">
        <is>
          <t>✅</t>
        </is>
      </c>
      <c r="I43" s="16" t="inlineStr">
        <is>
          <t>主催者獲得 O-M7(店舗側の営業フック)</t>
        </is>
      </c>
    </row>
    <row r="44">
      <c r="A44" s="16" t="inlineStr">
        <is>
          <t>3.2 根拠が弱いもの(31機能)</t>
        </is>
      </c>
      <c r="B44" s="16" t="inlineStr">
        <is>
          <t>FD05</t>
        </is>
      </c>
      <c r="C44" s="16" t="inlineStr">
        <is>
          <t>席の確保・貸切の連携</t>
        </is>
      </c>
      <c r="D44" s="16" t="n">
        <v>3</v>
      </c>
      <c r="E44" s="16" t="inlineStr">
        <is>
          <t>弱(負あり)</t>
        </is>
      </c>
      <c r="F44" s="16" t="inlineStr">
        <is>
          <t>Timeleft は卓確保型・少人数卓で拡大(ARR €18M は自己申告)し、都市あたり週50人以上を密度の目安にした。ただし店に対価を払わず、注文しない参加者が多いと店が提携終了を申し出る例があり、広告で320都市超へ広げて約220都市に縮小した。</t>
        </is>
      </c>
      <c r="G44" s="16" t="inlineStr">
        <is>
          <t>食事固有</t>
        </is>
      </c>
      <c r="H44" s="16" t="inlineStr">
        <is>
          <t>△</t>
        </is>
      </c>
      <c r="I44" s="16" t="inlineStr">
        <is>
          <t>GS各社「Timeleft」、CSV note(Timeleft FD05)。Frin 2025-10
https://timfrin.substack.com/p/inside-timelefts-journey-to-connecting</t>
        </is>
      </c>
    </row>
    <row r="45">
      <c r="A45" s="16" t="inlineStr">
        <is>
          <t>3.2 根拠が弱いもの(31機能)</t>
        </is>
      </c>
      <c r="B45" s="16" t="inlineStr">
        <is>
          <t>MN01</t>
        </is>
      </c>
      <c r="C45" s="16" t="inlineStr">
        <is>
          <t>手数料の明示</t>
        </is>
      </c>
      <c r="D45" s="16" t="n">
        <v>13</v>
      </c>
      <c r="E45" s="16" t="inlineStr">
        <is>
          <t>弱(負あり)</t>
        </is>
      </c>
      <c r="F45" s="16" t="inlineStr">
        <is>
          <t>RA は手数料込みの単一価格表示で転換が3〜5%高いと説明(検索要約。DICE 自身の数値ではない)。Posh は手数料表示を巡る集団訴訟で$120万の和解見込み(最終承認は未確認)。低手数料の効果は3.4で扱う。</t>
        </is>
      </c>
      <c r="G45" s="16" t="inlineStr">
        <is>
          <t>標準装備</t>
        </is>
      </c>
      <c r="H45" s="16" t="inlineStr">
        <is>
          <t>✅</t>
        </is>
      </c>
      <c r="I45" s="16" t="inlineStr">
        <is>
          <t>GS機能表「全額込み表示」、参加者獲得 F-9。RA サポート、Posh 集団訴訟
https://support.ra.co/article/40-booking-fees
https://allaboutlawyer.com/1200000-posh-group-deceptive-ticket-fee-class-action-settlement/</t>
        </is>
      </c>
    </row>
    <row r="46">
      <c r="A46" s="16" t="inlineStr">
        <is>
          <t>3.3 根拠は見つからないが、自社の穴・強みとして重要なもの(15機能)</t>
        </is>
      </c>
      <c r="B46" s="16" t="inlineStr">
        <is>
          <t>DS01</t>
        </is>
      </c>
      <c r="C46" s="16" t="inlineStr">
        <is>
          <t>キーワード・カテゴリ検索</t>
        </is>
      </c>
      <c r="D46" s="16" t="n">
        <v>10</v>
      </c>
      <c r="E46" s="16" t="inlineStr">
        <is>
          <t>なし</t>
        </is>
      </c>
      <c r="F46" s="16" t="inlineStr">
        <is>
          <t>根拠は見つからない(Eventbrite の「創業時の仮説が検索」は外部検索の話)。自社は検索なしで、イベントタグの仕様書は未実装。</t>
        </is>
      </c>
      <c r="G46" s="16" t="inlineStr">
        <is>
          <t>標準装備</t>
        </is>
      </c>
      <c r="H46" s="16" t="inlineStr">
        <is>
          <t>△*</t>
        </is>
      </c>
      <c r="I46" s="16" t="inlineStr"/>
    </row>
    <row r="47">
      <c r="A47" s="16" t="inlineStr">
        <is>
          <t>3.3 根拠は見つからないが、自社の穴・強みとして重要なもの(15機能)</t>
        </is>
      </c>
      <c r="B47" s="16" t="inlineStr">
        <is>
          <t>DS03</t>
        </is>
      </c>
      <c r="C47" s="16" t="inlineStr">
        <is>
          <t>日付・価格等の絞り込み</t>
        </is>
      </c>
      <c r="D47" s="16" t="n">
        <v>6</v>
      </c>
      <c r="E47" s="16" t="inlineStr">
        <is>
          <t>なし</t>
        </is>
      </c>
      <c r="F47" s="16" t="inlineStr">
        <is>
          <t>根拠は見つからない。自社の検索仕様書(06_イベント検索)は見出しのみ。</t>
        </is>
      </c>
      <c r="G47" s="16" t="inlineStr">
        <is>
          <t>—</t>
        </is>
      </c>
      <c r="H47" s="16" t="inlineStr">
        <is>
          <t>❌</t>
        </is>
      </c>
      <c r="I47" s="16" t="inlineStr"/>
    </row>
    <row r="48">
      <c r="A48" s="16" t="inlineStr">
        <is>
          <t>3.3 根拠は見つからないが、自社の穴・強みとして重要なもの(15機能)</t>
        </is>
      </c>
      <c r="B48" s="16" t="inlineStr">
        <is>
          <t>DS06</t>
        </is>
      </c>
      <c r="C48" s="16" t="inlineStr">
        <is>
          <t>ブックマーク・ウィッシュリスト</t>
        </is>
      </c>
      <c r="D48" s="16" t="n">
        <v>11</v>
      </c>
      <c r="E48" s="16" t="inlineStr">
        <is>
          <t>なし</t>
        </is>
      </c>
      <c r="F48" s="16" t="inlineStr">
        <is>
          <t>根拠は見つからない。自社は Issue #946(v2.16)と仕様書「いいね(行くかも)」がある。</t>
        </is>
      </c>
      <c r="G48" s="16" t="inlineStr">
        <is>
          <t>標準装備</t>
        </is>
      </c>
      <c r="H48" s="16" t="inlineStr">
        <is>
          <t>△</t>
        </is>
      </c>
      <c r="I48" s="16" t="inlineStr"/>
    </row>
    <row r="49">
      <c r="A49" s="16" t="inlineStr">
        <is>
          <t>3.3 根拠は見つからないが、自社の穴・強みとして重要なもの(15機能)</t>
        </is>
      </c>
      <c r="B49" s="16" t="inlineStr">
        <is>
          <t>JN03</t>
        </is>
      </c>
      <c r="C49" s="16" t="inlineStr">
        <is>
          <t>承認制・参加申請</t>
        </is>
      </c>
      <c r="D49" s="16" t="n">
        <v>5</v>
      </c>
      <c r="E49" s="16" t="inlineStr">
        <is>
          <t>なし</t>
        </is>
      </c>
      <c r="F49" s="16" t="inlineStr">
        <is>
          <t>根拠は見つからない。Peatix は選考機能が利用不可(❌)、Meetup・Luma・Partiful・Posh は ✅。自社は Issue #2333 等の計画がある。</t>
        </is>
      </c>
      <c r="G49" s="16" t="inlineStr">
        <is>
          <t>—</t>
        </is>
      </c>
      <c r="H49" s="16" t="inlineStr">
        <is>
          <t>△*</t>
        </is>
      </c>
      <c r="I49" s="16" t="inlineStr"/>
    </row>
    <row r="50">
      <c r="A50" s="16" t="inlineStr">
        <is>
          <t>3.3 根拠は見つからないが、自社の穴・強みとして重要なもの(15機能)</t>
        </is>
      </c>
      <c r="B50" s="16" t="inlineStr">
        <is>
          <t>JN10</t>
        </is>
      </c>
      <c r="C50" s="16" t="inlineStr">
        <is>
          <t>QRチケット・当日受付</t>
        </is>
      </c>
      <c r="D50" s="16" t="n">
        <v>8</v>
      </c>
      <c r="E50" s="16" t="inlineStr">
        <is>
          <t>なし</t>
        </is>
      </c>
      <c r="F50" s="16" t="inlineStr">
        <is>
          <t>根拠は見つからない。自社の受付・チェックインはバックログが見出しのみで、Issue もない。</t>
        </is>
      </c>
      <c r="G50" s="16" t="inlineStr">
        <is>
          <t>標準装備</t>
        </is>
      </c>
      <c r="H50" s="16" t="inlineStr">
        <is>
          <t>❌</t>
        </is>
      </c>
      <c r="I50" s="16" t="inlineStr"/>
    </row>
    <row r="51">
      <c r="A51" s="16" t="inlineStr">
        <is>
          <t>3.3 根拠は見つからないが、自社の穴・強みとして重要なもの(15機能)</t>
        </is>
      </c>
      <c r="B51" s="16" t="inlineStr">
        <is>
          <t>OP08</t>
        </is>
      </c>
      <c r="C51" s="16" t="inlineStr">
        <is>
          <t>当日運営ツール</t>
        </is>
      </c>
      <c r="D51" s="16" t="n">
        <v>11</v>
      </c>
      <c r="E51" s="16" t="inlineStr">
        <is>
          <t>なし</t>
        </is>
      </c>
      <c r="F51" s="16" t="inlineStr">
        <is>
          <t>根拠は見つからない(당근の QR 出席・定期予定と、初回参加者の58%が別日程にも参加は自社発表で対象外)。自社は注文一覧・名前シートPDFで代用。</t>
        </is>
      </c>
      <c r="G51" s="16" t="inlineStr">
        <is>
          <t>標準装備</t>
        </is>
      </c>
      <c r="H51" s="16" t="inlineStr">
        <is>
          <t>△</t>
        </is>
      </c>
      <c r="I51" s="16" t="inlineStr"/>
    </row>
    <row r="52">
      <c r="A52" s="16" t="inlineStr">
        <is>
          <t>3.3 根拠は見つからないが、自社の穴・強みとして重要なもの(15機能)</t>
        </is>
      </c>
      <c r="B52" s="16" t="inlineStr">
        <is>
          <t>OP09</t>
        </is>
      </c>
      <c r="C52" s="16" t="inlineStr">
        <is>
          <t>売上・入金管理</t>
        </is>
      </c>
      <c r="D52" s="16" t="n">
        <v>9</v>
      </c>
      <c r="E52" s="16" t="inlineStr">
        <is>
          <t>なし</t>
        </is>
      </c>
      <c r="F52" s="16" t="inlineStr">
        <is>
          <t>Luma・Posh が即時入金を訴求するが自社主張で、成長との関係は示されていない。自社は主催者への売上払い出しなし。</t>
        </is>
      </c>
      <c r="G52" s="16" t="inlineStr">
        <is>
          <t>標準装備</t>
        </is>
      </c>
      <c r="H52" s="16" t="inlineStr">
        <is>
          <t>△</t>
        </is>
      </c>
      <c r="I52" s="16" t="inlineStr"/>
    </row>
    <row r="53">
      <c r="A53" s="16" t="inlineStr">
        <is>
          <t>3.3 根拠は見つからないが、自社の穴・強みとして重要なもの(15機能)</t>
        </is>
      </c>
      <c r="B53" s="16" t="inlineStr">
        <is>
          <t>AC03</t>
        </is>
      </c>
      <c r="C53" s="16" t="inlineStr">
        <is>
          <t>参加者データの所有・出力</t>
        </is>
      </c>
      <c r="D53" s="16" t="n">
        <v>7</v>
      </c>
      <c r="E53" s="16" t="inlineStr">
        <is>
          <t>なし</t>
        </is>
      </c>
      <c r="F53" s="16" t="inlineStr">
        <is>
          <t>データ所有は Eventbrite 乗換えの訴求(Ticket Tailor・RA・Luma)だが成長根拠はなく、名簿を渡すと迂回の入口になるという指摘がある。自社は名簿 CSV にメールを出さない。</t>
        </is>
      </c>
      <c r="G53" s="16" t="inlineStr">
        <is>
          <t>供給側の誘因</t>
        </is>
      </c>
      <c r="H53" s="16" t="inlineStr">
        <is>
          <t>△*</t>
        </is>
      </c>
      <c r="I53" s="16" t="inlineStr"/>
    </row>
    <row r="54">
      <c r="A54" s="16" t="inlineStr">
        <is>
          <t>3.3 根拠は見つからないが、自社の穴・強みとして重要なもの(15機能)</t>
        </is>
      </c>
      <c r="B54" s="16" t="inlineStr">
        <is>
          <t>TS01</t>
        </is>
      </c>
      <c r="C54" s="16" t="inlineStr">
        <is>
          <t>本人確認・認証</t>
        </is>
      </c>
      <c r="D54" s="16" t="n">
        <v>7</v>
      </c>
      <c r="E54" s="16" t="inlineStr">
        <is>
          <t>なし</t>
        </is>
      </c>
      <c r="F54" s="16" t="inlineStr">
        <is>
          <t>根拠は見つからない(Timeleft・Eatwith は本人確認必須)。自社は主催者の電話番号認証が Issue のみ。</t>
        </is>
      </c>
      <c r="G54" s="16" t="inlineStr">
        <is>
          <t>—</t>
        </is>
      </c>
      <c r="H54" s="16" t="inlineStr">
        <is>
          <t>△*</t>
        </is>
      </c>
      <c r="I54" s="16" t="inlineStr"/>
    </row>
    <row r="55">
      <c r="A55" s="16" t="inlineStr">
        <is>
          <t>3.3 根拠は見つからないが、自社の穴・強みとして重要なもの(15機能)</t>
        </is>
      </c>
      <c r="B55" s="16" t="inlineStr">
        <is>
          <t>TS03</t>
        </is>
      </c>
      <c r="C55" s="16" t="inlineStr">
        <is>
          <t>通報・ブロック・モデレーション</t>
        </is>
      </c>
      <c r="D55" s="16" t="n">
        <v>8</v>
      </c>
      <c r="E55" s="16" t="inlineStr">
        <is>
          <t>なし</t>
        </is>
      </c>
      <c r="F55" s="16" t="inlineStr">
        <is>
          <t>根拠は見つからない。知らない人同士の食事(Timeleft・薯岛)では通報・除外が設計に含まれる。自社は利用者による通報・ブロックが未実装。</t>
        </is>
      </c>
      <c r="G55" s="16" t="inlineStr">
        <is>
          <t>標準装備</t>
        </is>
      </c>
      <c r="H55" s="16" t="inlineStr">
        <is>
          <t>△</t>
        </is>
      </c>
      <c r="I55" s="16" t="inlineStr"/>
    </row>
    <row r="56">
      <c r="A56" s="16" t="inlineStr">
        <is>
          <t>3.3 根拠は見つからないが、自社の穴・強みとして重要なもの(15機能)</t>
        </is>
      </c>
      <c r="B56" s="16" t="inlineStr">
        <is>
          <t>FD02</t>
        </is>
      </c>
      <c r="C56" s="16" t="inlineStr">
        <is>
          <t>アレルギー・食の好みの登録</t>
        </is>
      </c>
      <c r="D56" s="16" t="n">
        <v>0</v>
      </c>
      <c r="E56" s="16" t="inlineStr">
        <is>
          <t>なし</t>
        </is>
      </c>
      <c r="F56" s="16" t="inlineStr">
        <is>
          <t>競合✅0(△12は汎用アンケートでの代用)。根拠は見つからない。自社は仕様上スコープ外と明記。</t>
        </is>
      </c>
      <c r="G56" s="16" t="inlineStr">
        <is>
          <t>食事固有</t>
        </is>
      </c>
      <c r="H56" s="16" t="inlineStr">
        <is>
          <t>❌</t>
        </is>
      </c>
      <c r="I56" s="16" t="inlineStr"/>
    </row>
    <row r="57">
      <c r="A57" s="16" t="inlineStr">
        <is>
          <t>3.3 根拠は見つからないが、自社の穴・強みとして重要なもの(15機能)</t>
        </is>
      </c>
      <c r="B57" s="16" t="inlineStr">
        <is>
          <t>FD07</t>
        </is>
      </c>
      <c r="C57" s="16" t="inlineStr">
        <is>
          <t>割り勘・個別会計</t>
        </is>
      </c>
      <c r="D57" s="16" t="n">
        <v>0</v>
      </c>
      <c r="E57" s="16" t="inlineStr">
        <is>
          <t>なし</t>
        </is>
      </c>
      <c r="F57" s="16" t="inlineStr">
        <is>
          <t>競合✅0。根拠は見つからない。自社は参加者ごとの個別決済で、1会計を按分する割り勘ツールではない。</t>
        </is>
      </c>
      <c r="G57" s="16" t="inlineStr">
        <is>
          <t>食事固有</t>
        </is>
      </c>
      <c r="H57" s="16" t="inlineStr">
        <is>
          <t>✅</t>
        </is>
      </c>
      <c r="I57" s="16" t="inlineStr"/>
    </row>
    <row r="58">
      <c r="A58" s="16" t="inlineStr">
        <is>
          <t>3.3 根拠は見つからないが、自社の穴・強みとして重要なもの(15機能)</t>
        </is>
      </c>
      <c r="B58" s="16" t="inlineStr">
        <is>
          <t>FD08</t>
        </is>
      </c>
      <c r="C58" s="16" t="inlineStr">
        <is>
          <t>店探し・店選び支援</t>
        </is>
      </c>
      <c r="D58" s="16" t="n">
        <v>1</v>
      </c>
      <c r="E58" s="16" t="inlineStr">
        <is>
          <t>なし</t>
        </is>
      </c>
      <c r="F58" s="16" t="inlineStr">
        <is>
          <t>競合✅1(Eatwith)。根拠は見つからない。自社は郵便番号と日時から配達可能な店舗を提示する。</t>
        </is>
      </c>
      <c r="G58" s="16" t="inlineStr">
        <is>
          <t>食事固有</t>
        </is>
      </c>
      <c r="H58" s="16" t="inlineStr">
        <is>
          <t>✅</t>
        </is>
      </c>
      <c r="I58" s="16" t="inlineStr"/>
    </row>
    <row r="59">
      <c r="A59" s="16" t="inlineStr">
        <is>
          <t>3.3 根拠は見つからないが、自社の穴・強みとして重要なもの(15機能)</t>
        </is>
      </c>
      <c r="B59" s="16" t="inlineStr">
        <is>
          <t>FD10</t>
        </is>
      </c>
      <c r="C59" s="16" t="inlineStr">
        <is>
          <t>提供形態の選択</t>
        </is>
      </c>
      <c r="D59" s="16" t="n">
        <v>0</v>
      </c>
      <c r="E59" s="16" t="inlineStr">
        <is>
          <t>なし</t>
        </is>
      </c>
      <c r="F59" s="16" t="inlineStr">
        <is>
          <t>競合✅0。根拠は見つからない。自社はイートイン・テイクアウトの仕様書が Phase 2 で未実装。</t>
        </is>
      </c>
      <c r="G59" s="16" t="inlineStr">
        <is>
          <t>食事固有</t>
        </is>
      </c>
      <c r="H59" s="16" t="inlineStr">
        <is>
          <t>△</t>
        </is>
      </c>
      <c r="I59" s="16" t="inlineStr"/>
    </row>
    <row r="60">
      <c r="A60" s="16" t="inlineStr">
        <is>
          <t>3.3 根拠は見つからないが、自社の穴・強みとして重要なもの(15機能)</t>
        </is>
      </c>
      <c r="B60" s="16" t="inlineStr">
        <is>
          <t>MN04</t>
        </is>
      </c>
      <c r="C60" s="16" t="inlineStr">
        <is>
          <t>クーポン・割引コード</t>
        </is>
      </c>
      <c r="D60" s="16" t="n">
        <v>10</v>
      </c>
      <c r="E60" s="16" t="inlineStr">
        <is>
          <t>なし</t>
        </is>
      </c>
      <c r="F60" s="16" t="inlineStr">
        <is>
          <t>Timeleft の€5割引コード(2023年の施策とみられる)、ストアカの LINE 登録100pt、Peatix の2014年の10%割引はいずれも効果の定量値なし。割引は供給が薄いと定着しない [推測]。</t>
        </is>
      </c>
      <c r="G60" s="16" t="inlineStr">
        <is>
          <t>標準装備</t>
        </is>
      </c>
      <c r="H60" s="16" t="inlineStr">
        <is>
          <t>△</t>
        </is>
      </c>
      <c r="I60" s="16" t="inlineStr"/>
    </row>
    <row r="61">
      <c r="A61" s="16" t="inlineStr">
        <is>
          <t>付録: 根拠が見つからなかった機能(20機能)</t>
        </is>
      </c>
      <c r="B61" s="16" t="inlineStr">
        <is>
          <t>JN02</t>
        </is>
      </c>
      <c r="C61" s="16" t="inlineStr">
        <is>
          <t>簡易ログイン</t>
        </is>
      </c>
      <c r="D61" s="16" t="n">
        <v>13</v>
      </c>
      <c r="E61" s="16" t="inlineStr"/>
      <c r="F61" s="16" t="inlineStr"/>
      <c r="G61" s="16" t="inlineStr"/>
      <c r="H61" s="16" t="inlineStr">
        <is>
          <t>✅</t>
        </is>
      </c>
      <c r="I61" s="16" t="inlineStr"/>
    </row>
    <row r="62">
      <c r="A62" s="16" t="inlineStr">
        <is>
          <t>付録: 根拠が見つからなかった機能(20機能)</t>
        </is>
      </c>
      <c r="B62" s="16" t="inlineStr">
        <is>
          <t>JN05</t>
        </is>
      </c>
      <c r="C62" s="16" t="inlineStr">
        <is>
          <t>定員・残席の表示</t>
        </is>
      </c>
      <c r="D62" s="16" t="n">
        <v>7</v>
      </c>
      <c r="E62" s="16" t="inlineStr"/>
      <c r="F62" s="16" t="inlineStr"/>
      <c r="G62" s="16" t="inlineStr"/>
      <c r="H62" s="16" t="inlineStr">
        <is>
          <t>✅</t>
        </is>
      </c>
      <c r="I62" s="16" t="inlineStr"/>
    </row>
    <row r="63">
      <c r="A63" s="16" t="inlineStr">
        <is>
          <t>付録: 根拠が見つからなかった機能(20機能)</t>
        </is>
      </c>
      <c r="B63" s="16" t="inlineStr">
        <is>
          <t>JN06</t>
        </is>
      </c>
      <c r="C63" s="16" t="inlineStr">
        <is>
          <t>追加質問・同行者の入力</t>
        </is>
      </c>
      <c r="D63" s="16" t="n">
        <v>10</v>
      </c>
      <c r="E63" s="16" t="inlineStr"/>
      <c r="F63" s="16" t="inlineStr"/>
      <c r="G63" s="16" t="inlineStr"/>
      <c r="H63" s="16" t="inlineStr">
        <is>
          <t>✅</t>
        </is>
      </c>
      <c r="I63" s="16" t="inlineStr"/>
    </row>
    <row r="64">
      <c r="A64" s="16" t="inlineStr">
        <is>
          <t>付録: 根拠が見つからなかった機能(20機能)</t>
        </is>
      </c>
      <c r="B64" s="16" t="inlineStr">
        <is>
          <t>JN07</t>
        </is>
      </c>
      <c r="C64" s="16" t="inlineStr">
        <is>
          <t>参加者のセルフキャンセル</t>
        </is>
      </c>
      <c r="D64" s="16" t="n">
        <v>7</v>
      </c>
      <c r="E64" s="16" t="inlineStr"/>
      <c r="F64" s="16" t="inlineStr"/>
      <c r="G64" s="16" t="inlineStr"/>
      <c r="H64" s="16" t="inlineStr">
        <is>
          <t>✅</t>
        </is>
      </c>
      <c r="I64" s="16" t="inlineStr"/>
    </row>
    <row r="65">
      <c r="A65" s="16" t="inlineStr">
        <is>
          <t>付録: 根拠が見つからなかった機能(20機能)</t>
        </is>
      </c>
      <c r="B65" s="16" t="inlineStr">
        <is>
          <t>JN08</t>
        </is>
      </c>
      <c r="C65" s="16" t="inlineStr">
        <is>
          <t>カレンダー追加</t>
        </is>
      </c>
      <c r="D65" s="16" t="n">
        <v>10</v>
      </c>
      <c r="E65" s="16" t="inlineStr"/>
      <c r="F65" s="16" t="inlineStr"/>
      <c r="G65" s="16" t="inlineStr"/>
      <c r="H65" s="16" t="inlineStr">
        <is>
          <t>✅</t>
        </is>
      </c>
      <c r="I65" s="16" t="inlineStr"/>
    </row>
    <row r="66">
      <c r="A66" s="16" t="inlineStr">
        <is>
          <t>付録: 根拠が見つからなかった機能(20機能)</t>
        </is>
      </c>
      <c r="B66" s="16" t="inlineStr">
        <is>
          <t>JN11</t>
        </is>
      </c>
      <c r="C66" s="16" t="inlineStr">
        <is>
          <t>参加者一覧の閲覧</t>
        </is>
      </c>
      <c r="D66" s="16" t="n">
        <v>6</v>
      </c>
      <c r="E66" s="16" t="inlineStr"/>
      <c r="F66" s="16" t="inlineStr"/>
      <c r="G66" s="16" t="inlineStr"/>
      <c r="H66" s="16" t="inlineStr">
        <is>
          <t>✅</t>
        </is>
      </c>
      <c r="I66" s="16" t="inlineStr"/>
    </row>
    <row r="67">
      <c r="A67" s="16" t="inlineStr">
        <is>
          <t>付録: 根拠が見つからなかった機能(20機能)</t>
        </is>
      </c>
      <c r="B67" s="16" t="inlineStr">
        <is>
          <t>JN12</t>
        </is>
      </c>
      <c r="C67" s="16" t="inlineStr">
        <is>
          <t>イベント後の体験</t>
        </is>
      </c>
      <c r="D67" s="16" t="n">
        <v>9</v>
      </c>
      <c r="E67" s="16" t="inlineStr"/>
      <c r="F67" s="16" t="inlineStr"/>
      <c r="G67" s="16" t="inlineStr"/>
      <c r="H67" s="16" t="inlineStr">
        <is>
          <t>✅</t>
        </is>
      </c>
      <c r="I67" s="16" t="inlineStr"/>
    </row>
    <row r="68">
      <c r="A68" s="16" t="inlineStr">
        <is>
          <t>付録: 根拠が見つからなかった機能(20機能)</t>
        </is>
      </c>
      <c r="B68" s="16" t="inlineStr">
        <is>
          <t>SH01</t>
        </is>
      </c>
      <c r="C68" s="16" t="inlineStr">
        <is>
          <t>共有用URL・OGPカード</t>
        </is>
      </c>
      <c r="D68" s="16" t="n">
        <v>8</v>
      </c>
      <c r="E68" s="16" t="inlineStr"/>
      <c r="F68" s="16" t="inlineStr"/>
      <c r="G68" s="16" t="inlineStr"/>
      <c r="H68" s="16" t="inlineStr">
        <is>
          <t>✅</t>
        </is>
      </c>
      <c r="I68" s="16" t="inlineStr"/>
    </row>
    <row r="69">
      <c r="A69" s="16" t="inlineStr">
        <is>
          <t>付録: 根拠が見つからなかった機能(20機能)</t>
        </is>
      </c>
      <c r="B69" s="16" t="inlineStr">
        <is>
          <t>SH07</t>
        </is>
      </c>
      <c r="C69" s="16" t="inlineStr">
        <is>
          <t>QR・短縮URL・チラシ生成</t>
        </is>
      </c>
      <c r="D69" s="16" t="n">
        <v>6</v>
      </c>
      <c r="E69" s="16" t="inlineStr"/>
      <c r="F69" s="16" t="inlineStr"/>
      <c r="G69" s="16" t="inlineStr"/>
      <c r="H69" s="16" t="inlineStr">
        <is>
          <t>✅</t>
        </is>
      </c>
      <c r="I69" s="16" t="inlineStr"/>
    </row>
    <row r="70">
      <c r="A70" s="16" t="inlineStr">
        <is>
          <t>付録: 根拠が見つからなかった機能(20機能)</t>
        </is>
      </c>
      <c r="B70" s="16" t="inlineStr">
        <is>
          <t>OP02</t>
        </is>
      </c>
      <c r="C70" s="16" t="inlineStr">
        <is>
          <t>コピー・繰り返し作成</t>
        </is>
      </c>
      <c r="D70" s="16" t="n">
        <v>9</v>
      </c>
      <c r="E70" s="16" t="inlineStr"/>
      <c r="F70" s="16" t="inlineStr"/>
      <c r="G70" s="16" t="inlineStr"/>
      <c r="H70" s="16" t="inlineStr">
        <is>
          <t>✅</t>
        </is>
      </c>
      <c r="I70" s="16" t="inlineStr"/>
    </row>
    <row r="71">
      <c r="A71" s="16" t="inlineStr">
        <is>
          <t>付録: 根拠が見つからなかった機能(20機能)</t>
        </is>
      </c>
      <c r="B71" s="16" t="inlineStr">
        <is>
          <t>OP03</t>
        </is>
      </c>
      <c r="C71" s="16" t="inlineStr">
        <is>
          <t>下書き・限定公開</t>
        </is>
      </c>
      <c r="D71" s="16" t="n">
        <v>12</v>
      </c>
      <c r="E71" s="16" t="inlineStr"/>
      <c r="F71" s="16" t="inlineStr"/>
      <c r="G71" s="16" t="inlineStr"/>
      <c r="H71" s="16" t="inlineStr">
        <is>
          <t>✅</t>
        </is>
      </c>
      <c r="I71" s="16" t="inlineStr"/>
    </row>
    <row r="72">
      <c r="A72" s="16" t="inlineStr">
        <is>
          <t>付録: 根拠が見つからなかった機能(20機能)</t>
        </is>
      </c>
      <c r="B72" s="16" t="inlineStr">
        <is>
          <t>OP04</t>
        </is>
      </c>
      <c r="C72" s="16" t="inlineStr">
        <is>
          <t>AI作成支援</t>
        </is>
      </c>
      <c r="D72" s="16" t="n">
        <v>1</v>
      </c>
      <c r="E72" s="16" t="inlineStr"/>
      <c r="F72" s="16" t="inlineStr"/>
      <c r="G72" s="16" t="inlineStr"/>
      <c r="H72" s="16" t="inlineStr">
        <is>
          <t>❌</t>
        </is>
      </c>
      <c r="I72" s="16" t="inlineStr"/>
    </row>
    <row r="73">
      <c r="A73" s="16" t="inlineStr">
        <is>
          <t>付録: 根拠が見つからなかった機能(20機能)</t>
        </is>
      </c>
      <c r="B73" s="16" t="inlineStr">
        <is>
          <t>OP05</t>
        </is>
      </c>
      <c r="C73" s="16" t="inlineStr">
        <is>
          <t>共同主催・運営メンバー権限</t>
        </is>
      </c>
      <c r="D73" s="16" t="n">
        <v>8</v>
      </c>
      <c r="E73" s="16" t="inlineStr"/>
      <c r="F73" s="16" t="inlineStr"/>
      <c r="G73" s="16" t="inlineStr"/>
      <c r="H73" s="16" t="inlineStr">
        <is>
          <t>✅*</t>
        </is>
      </c>
      <c r="I73" s="16" t="inlineStr"/>
    </row>
    <row r="74">
      <c r="A74" s="16" t="inlineStr">
        <is>
          <t>付録: 根拠が見つからなかった機能(20機能)</t>
        </is>
      </c>
      <c r="B74" s="16" t="inlineStr">
        <is>
          <t>OP06</t>
        </is>
      </c>
      <c r="C74" s="16" t="inlineStr">
        <is>
          <t>参加者管理・名簿出力</t>
        </is>
      </c>
      <c r="D74" s="16" t="n">
        <v>10</v>
      </c>
      <c r="E74" s="16" t="inlineStr"/>
      <c r="F74" s="16" t="inlineStr"/>
      <c r="G74" s="16" t="inlineStr"/>
      <c r="H74" s="16" t="inlineStr">
        <is>
          <t>✅</t>
        </is>
      </c>
      <c r="I74" s="16" t="inlineStr"/>
    </row>
    <row r="75">
      <c r="A75" s="16" t="inlineStr">
        <is>
          <t>付録: 根拠が見つからなかった機能(20機能)</t>
        </is>
      </c>
      <c r="B75" s="16" t="inlineStr">
        <is>
          <t>CR03</t>
        </is>
      </c>
      <c r="C75" s="16" t="inlineStr">
        <is>
          <t>前回参加者への優先案内</t>
        </is>
      </c>
      <c r="D75" s="16" t="n">
        <v>3</v>
      </c>
      <c r="E75" s="16" t="inlineStr"/>
      <c r="F75" s="16" t="inlineStr"/>
      <c r="G75" s="16" t="inlineStr"/>
      <c r="H75" s="16" t="inlineStr">
        <is>
          <t>△</t>
        </is>
      </c>
      <c r="I75" s="16" t="inlineStr"/>
    </row>
    <row r="76">
      <c r="A76" s="16" t="inlineStr">
        <is>
          <t>付録: 根拠が見つからなかった機能(20機能)</t>
        </is>
      </c>
      <c r="B76" s="16" t="inlineStr">
        <is>
          <t>CR08</t>
        </is>
      </c>
      <c r="C76" s="16" t="inlineStr">
        <is>
          <t>年間まとめ・振り返り共有</t>
        </is>
      </c>
      <c r="D76" s="16" t="n">
        <v>0</v>
      </c>
      <c r="E76" s="16" t="inlineStr"/>
      <c r="F76" s="16" t="inlineStr"/>
      <c r="G76" s="16" t="inlineStr"/>
      <c r="H76" s="16" t="inlineStr">
        <is>
          <t>❌</t>
        </is>
      </c>
      <c r="I76" s="16" t="inlineStr"/>
    </row>
    <row r="77">
      <c r="A77" s="16" t="inlineStr">
        <is>
          <t>付録: 根拠が見つからなかった機能(20機能)</t>
        </is>
      </c>
      <c r="B77" s="16" t="inlineStr">
        <is>
          <t>TS05</t>
        </is>
      </c>
      <c r="C77" s="16" t="inlineStr">
        <is>
          <t>参加者情報の保護</t>
        </is>
      </c>
      <c r="D77" s="16" t="n">
        <v>8</v>
      </c>
      <c r="E77" s="16" t="inlineStr"/>
      <c r="F77" s="16" t="inlineStr"/>
      <c r="G77" s="16" t="inlineStr"/>
      <c r="H77" s="16" t="inlineStr">
        <is>
          <t>✅</t>
        </is>
      </c>
      <c r="I77" s="16" t="inlineStr"/>
    </row>
    <row r="78">
      <c r="A78" s="16" t="inlineStr">
        <is>
          <t>付録: 根拠が見つからなかった機能(20機能)</t>
        </is>
      </c>
      <c r="B78" s="16" t="inlineStr">
        <is>
          <t>FD06</t>
        </is>
      </c>
      <c r="C78" s="16" t="inlineStr">
        <is>
          <t>コース・固定メニュー</t>
        </is>
      </c>
      <c r="D78" s="16" t="n">
        <v>1</v>
      </c>
      <c r="E78" s="16" t="inlineStr"/>
      <c r="F78" s="16" t="inlineStr"/>
      <c r="G78" s="16" t="inlineStr"/>
      <c r="H78" s="16" t="inlineStr">
        <is>
          <t>△</t>
        </is>
      </c>
      <c r="I78" s="16" t="inlineStr"/>
    </row>
    <row r="79">
      <c r="A79" s="16" t="inlineStr">
        <is>
          <t>付録: 根拠が見つからなかった機能(20機能)</t>
        </is>
      </c>
      <c r="B79" s="16" t="inlineStr">
        <is>
          <t>FD09</t>
        </is>
      </c>
      <c r="C79" s="16" t="inlineStr">
        <is>
          <t>売り切れ・限定数の管理</t>
        </is>
      </c>
      <c r="D79" s="16" t="n">
        <v>5</v>
      </c>
      <c r="E79" s="16" t="inlineStr"/>
      <c r="F79" s="16" t="inlineStr"/>
      <c r="G79" s="16" t="inlineStr"/>
      <c r="H79" s="16" t="inlineStr">
        <is>
          <t>✅</t>
        </is>
      </c>
      <c r="I79" s="16" t="inlineStr"/>
    </row>
    <row r="80">
      <c r="A80" s="16" t="inlineStr">
        <is>
          <t>付録: 根拠が見つからなかった機能(20機能)</t>
        </is>
      </c>
      <c r="B80" s="16" t="inlineStr">
        <is>
          <t>MN05</t>
        </is>
      </c>
      <c r="C80" s="16" t="inlineStr">
        <is>
          <t>ポイント・会員特典</t>
        </is>
      </c>
      <c r="D80" s="16" t="n">
        <v>2</v>
      </c>
      <c r="E80" s="16" t="inlineStr"/>
      <c r="F80" s="16" t="inlineStr"/>
      <c r="G80" s="16" t="inlineStr"/>
      <c r="H80" s="16" t="inlineStr">
        <is>
          <t>❌*</t>
        </is>
      </c>
      <c r="I80" s="16" t="inlineStr"/>
    </row>
  </sheetData>
  <autoFilter ref="A3:I8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55.2" customWidth="1" min="1" max="1"/>
    <col width="19.1" customWidth="1" min="2" max="2"/>
    <col width="48.55" customWidth="1" min="3" max="3"/>
    <col width="60" customWidth="1" min="4" max="4"/>
    <col width="28.6" customWidth="1" min="5" max="5"/>
  </cols>
  <sheetData>
    <row r="1">
      <c r="A1" s="10" t="inlineStr">
        <is>
          <t>要因</t>
        </is>
      </c>
      <c r="B1" s="10" t="inlineStr">
        <is>
          <t>関連する機能</t>
        </is>
      </c>
      <c r="C1" s="10" t="inlineStr">
        <is>
          <t>根拠の強さ</t>
        </is>
      </c>
      <c r="D1" s="10" t="inlineStr">
        <is>
          <t>根拠</t>
        </is>
      </c>
      <c r="E1" s="10" t="inlineStr">
        <is>
          <t>自社の企画ID</t>
        </is>
      </c>
    </row>
    <row r="2">
      <c r="A2" s="16" t="inlineStr">
        <is>
          <t>供給側(主催者・店・会場)への個別アウトリーチ・営業・伴走</t>
        </is>
      </c>
      <c r="B2" s="16" t="inlineStr">
        <is>
          <t>AC06(人的版)・AC08</t>
        </is>
      </c>
      <c r="C2" s="16" t="inlineStr">
        <is>
          <t>強</t>
        </is>
      </c>
      <c r="D2" s="16" t="inlineStr">
        <is>
          <t>DICE は創業者の人脈で O2 などが初日から参加、트레바리は専門家を電話・訪問で口説いてクラブ長を40人超招聘、BookMyShow は映画館チェーンの業務を先に請け負い、OpenTable は直販で設置店が2,423(2004)→10,335(2008)、Ticket Tailor は3件目の電話で最初の顧客を得た(TechCrunch 2014-09、머니투데이 2019-01、OpenTable S-1)。件数・時期が分かる例が最も多いが、CAC・人員は非公開。Zeffy の米国コールドコールは不調で、Eventbrite は主催者の95%超が自己登録だった(2017〜19年の10-K)
https://techcrunch.com/2014/09/18/dice/amp/
https://www.mt.co.kr/future/2019/01/18/2018122317014014640
https://www.sec.gov/Archives/edgar/data/0001125914/000104746909008000/a2194323zs-1.htm</t>
        </is>
      </c>
      <c r="E2" s="16" t="inlineStr">
        <is>
          <t>P3-2・P2-3・U-01・D5-1・P5-6</t>
        </is>
      </c>
    </row>
    <row r="3">
      <c r="A3" s="16" t="inlineStr">
        <is>
          <t>参加者→主催者の経路</t>
        </is>
      </c>
      <c r="B3" s="16" t="inlineStr">
        <is>
          <t>OP11・JN12</t>
        </is>
      </c>
      <c r="C3" s="16" t="inlineStr">
        <is>
          <t>強(経路の存在)。導線機能の効果は不明</t>
        </is>
      </c>
      <c r="D3" s="16" t="inlineStr">
        <is>
          <t>Eventbrite の主催者の約70%が他者のイベント参加(34%)か口コミ(36%)で知った(2016年の自社調査。10-K FY2018)。Posh の「主催者の2人に1人は元参加者」は投資家の主張で算出方法なし。ゲスト→主催者の転換率はどのサービスも非公開
https://www.sec.gov/Archives/edgar/data/1475115/000147511519000007/ebform10-kx2018123118.htm</t>
        </is>
      </c>
      <c r="E3" s="16" t="inlineStr">
        <is>
          <t>D5-4・D5-5・U-03</t>
        </is>
      </c>
    </row>
    <row r="4">
      <c r="A4" s="16" t="inlineStr">
        <is>
          <t>口コミ・バイラル</t>
        </is>
      </c>
      <c r="B4" s="16" t="inlineStr">
        <is>
          <t>SH02・SH03</t>
        </is>
      </c>
      <c r="C4" s="16" t="inlineStr">
        <is>
          <t>中</t>
        </is>
      </c>
      <c r="D4" s="16" t="inlineStr">
        <is>
          <t>Luma の創業者は「ほぼ完全に口コミ」、Partiful の CEO は成長は口コミとネットワーク効果で広告ではないと述べ、Ticket Tailor の創業者は口コミが最も成功したと述べた。転換率は非公開。How Luma Works、TBPN Digest、Starter Story
https://pont.is/p/how-luma-works
https://www.tbpndigest.com/story/2025-10-31/shreya-murthy-on-partiful-building-the-social-layer-for-gen-z-events-and-the-future-of-offline-connection
https://www.starterstory.com/how-to-start-a-ticketing-platform</t>
        </is>
      </c>
      <c r="E4" s="16" t="inlineStr">
        <is>
          <t>D1-2・D6-4・D6-5</t>
        </is>
      </c>
    </row>
    <row r="5">
      <c r="A5" s="16" t="inlineStr">
        <is>
          <t>定期・会員・コミットメント</t>
        </is>
      </c>
      <c r="B5" s="16" t="inlineStr">
        <is>
          <t>CR04・MN05・TS04</t>
        </is>
      </c>
      <c r="C5" s="16" t="inlineStr">
        <is>
          <t>中(自己申告)</t>
        </is>
      </c>
      <c r="D5" s="16" t="inlineStr">
        <is>
          <t>트레바리の再登録率70%超(2016)、Timeleft の月平均利用1.4→2.2回(創業者発言。Frin 2025-10)。反面、트레바리は2020-09に会員が75%減り7年連続赤字との報道。ストアカ・Doorkeeper の月額制は自己申告
https://timfrin.substack.com/p/inside-timelefts-journey-to-connecting</t>
        </is>
      </c>
      <c r="E5" s="16" t="inlineStr">
        <is>
          <t>S-08・S-09</t>
        </is>
      </c>
    </row>
    <row r="6">
      <c r="A6" s="16" t="inlineStr">
        <is>
          <t>エリア単位の密度設計</t>
        </is>
      </c>
      <c r="B6" s="16" t="inlineStr">
        <is>
          <t>DS02・FD05</t>
        </is>
      </c>
      <c r="C6" s="16" t="inlineStr">
        <is>
          <t>中(失敗事例が複数)</t>
        </is>
      </c>
      <c r="D6" s="16" t="inlineStr">
        <is>
          <t>Timeleft は都市あたり週50人以上を目安に、広告で320都市超へ広げ約220都市へ縮小。Dinner Lab は31都市に広げて閉鎖。당근は半径6kmで4週間に約400モイム(自社発表。Byline 2023-07)。Timeleft の出典は上の行の Frin
https://byline.network/2023/07/31-163/</t>
        </is>
      </c>
      <c r="E6" s="16" t="inlineStr">
        <is>
          <t>D2-5(エリアハブ)</t>
        </is>
      </c>
    </row>
    <row r="7">
      <c r="A7" s="16" t="inlineStr">
        <is>
          <t>既存の需要基盤・提携の借用</t>
        </is>
      </c>
      <c r="B7" s="16" t="inlineStr">
        <is>
          <t>—</t>
        </is>
      </c>
      <c r="C7" s="16" t="inlineStr">
        <is>
          <t>中(GS は「中〜強」。自前基盤が前提で再現しにくい)</t>
        </is>
      </c>
      <c r="D7" s="16" t="inlineStr">
        <is>
          <t>Resy は Amex 連携で約4,000店(2019)→9,000店超(2021)、LIVEPOCKET は KDDI の会員基盤、당근は既存アプリ内、Meetup は Dean 陣営の支持者</t>
        </is>
      </c>
      <c r="E7" s="16" t="inlineStr">
        <is>
          <t>P5-4〜P5-6</t>
        </is>
      </c>
    </row>
    <row r="8">
      <c r="A8" s="16" t="inlineStr">
        <is>
          <t>低手数料・手数料免除</t>
        </is>
      </c>
      <c r="B8" s="16" t="inlineStr">
        <is>
          <t>MN01・AC02</t>
        </is>
      </c>
      <c r="C8" s="16" t="inlineStr">
        <is>
          <t>弱(相関のみ)</t>
        </is>
      </c>
      <c r="D8" s="16" t="inlineStr">
        <is>
          <t>Peatix は2013-02に6%→2.9%+70円/注文へ下げ、5か月で累計5,000→10,000イベント(Value Press 2013-02)。Ticket Tailor の創業者は低価格・サポート・口コミで成長と述べた。Peatix は2026年に4.9%+99円/枚へ引き上げた(経緯は不明)
https://www.value-press.com/pressrelease/107129</t>
        </is>
      </c>
      <c r="E8" s="16" t="inlineStr">
        <is>
          <t>AC01・AC02 は自社 ✅</t>
        </is>
      </c>
    </row>
    <row r="9">
      <c r="A9" s="16" t="inlineStr">
        <is>
          <t>有料広告</t>
        </is>
      </c>
      <c r="B9" s="16" t="inlineStr">
        <is>
          <t>—</t>
        </is>
      </c>
      <c r="C9" s="16" t="inlineStr">
        <is>
          <t>中(証言あり・ROI 非公開)。密度は作れない</t>
        </is>
      </c>
      <c r="D9" s="16" t="inlineStr">
        <is>
          <t>Zeffy は Google Ads で6か月に NPO 獲得が約10倍(月約$5,000→約$50万、当事者証言)。Timeleft は広告のみで都市を量産し縮小した。登録は作れても週次の参加密度は作れない(出典は MN03 の行の EP73 と、上の Frin)</t>
        </is>
      </c>
      <c r="E9" s="16" t="inlineStr">
        <is>
          <t>D6-6</t>
        </is>
      </c>
    </row>
    <row r="10">
      <c r="A10" s="16" t="inlineStr">
        <is>
          <t>PR・メディア</t>
        </is>
      </c>
      <c r="B10" s="16" t="inlineStr">
        <is>
          <t>—</t>
        </is>
      </c>
      <c r="C10" s="16" t="inlineStr">
        <is>
          <t>弱(点火には効くが持続・定量なし)</t>
        </is>
      </c>
      <c r="D10" s="16" t="inlineStr">
        <is>
          <t>Luma は創業者の Twitter 投稿から約1週間で TechCrunch に掲載。Meetup の創業者は「PR 部門はない」と述べた。PR 単独の効果は不明</t>
        </is>
      </c>
      <c r="E10" s="16" t="inlineStr">
        <is>
          <t>P0-1</t>
        </is>
      </c>
    </row>
  </sheetData>
  <autoFilter ref="A1:E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43"/>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8.15" customWidth="1" min="2" max="2"/>
    <col width="12" customWidth="1" min="3" max="3"/>
    <col width="40" customWidth="1" min="4" max="4"/>
    <col width="34" customWidth="1" min="5" max="5"/>
    <col width="34" customWidth="1" min="6" max="6"/>
    <col width="24" customWidth="1" min="7" max="7"/>
    <col width="34" customWidth="1" min="8" max="8"/>
    <col width="26" customWidth="1" min="9" max="9"/>
    <col width="9.6" customWidth="1" min="10" max="10"/>
  </cols>
  <sheetData>
    <row r="1">
      <c r="A1" s="10" t="inlineStr">
        <is>
          <t>区分</t>
        </is>
      </c>
      <c r="B1" s="10" t="inlineStr">
        <is>
          <t>サービス</t>
        </is>
      </c>
      <c r="C1" s="10" t="inlineStr">
        <is>
          <t>創業</t>
        </is>
      </c>
      <c r="D1" s="10" t="inlineStr">
        <is>
          <t>初期トラクション</t>
        </is>
      </c>
      <c r="E1" s="10" t="inlineStr">
        <is>
          <t>主な獲得チャネル</t>
        </is>
      </c>
      <c r="F1" s="10" t="inlineStr">
        <is>
          <t>牽引した機能・モデル</t>
        </is>
      </c>
      <c r="G1" s="10" t="inlineStr">
        <is>
          <t>累計調達</t>
        </is>
      </c>
      <c r="H1" s="10" t="inlineStr">
        <is>
          <t>成長スピード</t>
        </is>
      </c>
      <c r="I1" s="10" t="inlineStr">
        <is>
          <t>収益性</t>
        </is>
      </c>
      <c r="J1" s="10" t="inlineStr">
        <is>
          <t>信頼度</t>
        </is>
      </c>
    </row>
    <row r="2">
      <c r="A2" s="16" t="inlineStr">
        <is>
          <t>表A:グローバル大手・新興イベントツール・ライブ</t>
        </is>
      </c>
      <c r="B2" s="16" t="inlineStr">
        <is>
          <t>Eventbrite</t>
        </is>
      </c>
      <c r="C2" s="16" t="n">
        <v>2006</v>
      </c>
      <c r="D2" s="16" t="inlineStr">
        <is>
          <t>創業者3人で約2年。2009-11 に月間UU 300万</t>
        </is>
      </c>
      <c r="E2" s="16" t="inlineStr">
        <is>
          <t>参加者→主催者の口コミ(約70%[自社調査])、Facebook、検索</t>
        </is>
      </c>
      <c r="F2" s="16" t="inlineStr">
        <is>
          <t>手数料のみのセルフ発券、Facebook 連携</t>
        </is>
      </c>
      <c r="G2" s="16" t="inlineStr">
        <is>
          <t>優先株 $334.0M+IPO 約$230M</t>
        </is>
      </c>
      <c r="H2" s="16" t="inlineStr">
        <is>
          <t>約7年で累計 GTS $1.5B</t>
        </is>
      </c>
      <c r="I2" s="16" t="inlineStr">
        <is>
          <t>2017年に Adj. EBITDA 初黒字。GAAP 通期赤字は2025年まで</t>
        </is>
      </c>
      <c r="J2" s="16" t="inlineStr">
        <is>
          <t>高(10-K)</t>
        </is>
      </c>
    </row>
    <row r="3">
      <c r="A3" s="16" t="inlineStr">
        <is>
          <t>表A:グローバル大手・新興イベントツール・ライブ</t>
        </is>
      </c>
      <c r="B3" s="16" t="inlineStr">
        <is>
          <t>Meetup</t>
        </is>
      </c>
      <c r="C3" s="16" t="n">
        <v>2002</v>
      </c>
      <c r="D3" s="16" t="inlineStr">
        <is>
          <t>Dean 支持者グループがピーク14.3万人。16人で77.4万登録</t>
        </is>
      </c>
      <c r="E3" s="16" t="inlineStr">
        <is>
          <t>既存コミュニティ、創業者の露出</t>
        </is>
      </c>
      <c r="F3" s="16" t="inlineStr">
        <is>
          <t>ZIP×トピック、主催者課金</t>
        </is>
      </c>
      <c r="G3" s="16" t="inlineStr">
        <is>
          <t>約$18.3M(別資料$20.1M)</t>
        </is>
      </c>
      <c r="H3" s="16" t="inlineStr">
        <is>
          <t>RSVP 1億まで約11年</t>
        </is>
      </c>
      <c r="I3" s="16" t="inlineStr">
        <is>
          <t>2009-07 に初の黒字月</t>
        </is>
      </c>
      <c r="J3" s="16" t="inlineStr">
        <is>
          <t>中</t>
        </is>
      </c>
    </row>
    <row r="4">
      <c r="A4" s="16" t="inlineStr">
        <is>
          <t>表A:グローバル大手・新興イベントツール・ライブ</t>
        </is>
      </c>
      <c r="B4" s="16" t="inlineStr">
        <is>
          <t>Luma</t>
        </is>
      </c>
      <c r="C4" s="16" t="n">
        <v>2020</v>
      </c>
      <c r="D4" s="16" t="inlineStr">
        <is>
          <t>1ツイート→TechCrunch。約8か月でホスト1万人超</t>
        </is>
      </c>
      <c r="E4" s="16" t="inlineStr">
        <is>
          <t>創業者の発信、口コミ、多言語化</t>
        </is>
      </c>
      <c r="F4" s="16" t="inlineStr">
        <is>
          <t>アカウント不要 RSVP、Tech Weeks</t>
        </is>
      </c>
      <c r="G4" s="16" t="inlineStr">
        <is>
          <t>$3M(未検証)</t>
        </is>
      </c>
      <c r="H4" s="16" t="inlineStr">
        <is>
          <t>6名で数百万ユーザー</t>
        </is>
      </c>
      <c r="I4" s="16" t="inlineStr">
        <is>
          <t>[不明]</t>
        </is>
      </c>
      <c r="J4" s="16" t="inlineStr">
        <is>
          <t>中</t>
        </is>
      </c>
    </row>
    <row r="5">
      <c r="A5" s="16" t="inlineStr">
        <is>
          <t>表A:グローバル大手・新興イベントツール・ライブ</t>
        </is>
      </c>
      <c r="B5" s="16" t="inlineStr">
        <is>
          <t>Partiful</t>
        </is>
      </c>
      <c r="C5" s="16" t="n">
        <v>2020</v>
      </c>
      <c r="D5" s="16" t="inlineStr">
        <is>
          <t>獲得経路は [不明]</t>
        </is>
      </c>
      <c r="E5" s="16" t="inlineStr">
        <is>
          <t>招待リンクのバイラル、自然発生の報道</t>
        </is>
      </c>
      <c r="F5" s="16" t="inlineStr">
        <is>
          <t>アカウント不要 RSVP、デザイン</t>
        </is>
      </c>
      <c r="G5" s="16" t="inlineStr">
        <is>
          <t>$27.34M</t>
        </is>
      </c>
      <c r="H5" s="16" t="inlineStr">
        <is>
          <t>新規200万人(2025上半期[自社主張])</t>
        </is>
      </c>
      <c r="I5" s="16" t="inlineStr">
        <is>
          <t>2026-06 まで売上ゼロ</t>
        </is>
      </c>
      <c r="J5" s="16" t="inlineStr">
        <is>
          <t>中</t>
        </is>
      </c>
    </row>
    <row r="6">
      <c r="A6" s="16" t="inlineStr">
        <is>
          <t>表A:グローバル大手・新興イベントツール・ライブ</t>
        </is>
      </c>
      <c r="B6" s="16" t="inlineStr">
        <is>
          <t>Posh</t>
        </is>
      </c>
      <c r="C6" s="16" t="n">
        <v>2019</v>
      </c>
      <c r="D6" s="16" t="inlineStr">
        <is>
          <t>創業者の自主パーティ。50万人(2023-04)</t>
        </is>
      </c>
      <c r="E6" s="16" t="inlineStr">
        <is>
          <t>Kickback、主催者紹介、学生アンバサダー</t>
        </is>
      </c>
      <c r="F6" s="16" t="inlineStr">
        <is>
          <t>白ラベル、SMS一斉、アプリ</t>
        </is>
      </c>
      <c r="G6" s="16" t="inlineStr">
        <is>
          <t>約$68M(推測。$64〜105M)</t>
        </is>
      </c>
      <c r="H6" s="16" t="inlineStr">
        <is>
          <t>50万→800万人(2023-04〜2026-03)</t>
        </is>
      </c>
      <c r="I6" s="16" t="inlineStr">
        <is>
          <t>2023-04 直近黒字、2024年は全体で非黒字</t>
        </is>
      </c>
      <c r="J6" s="16" t="inlineStr">
        <is>
          <t>中</t>
        </is>
      </c>
    </row>
    <row r="7">
      <c r="A7" s="16" t="inlineStr">
        <is>
          <t>表A:グローバル大手・新興イベントツール・ライブ</t>
        </is>
      </c>
      <c r="B7" s="16" t="inlineStr">
        <is>
          <t>Fever</t>
        </is>
      </c>
      <c r="C7" s="16" t="inlineStr">
        <is>
          <t>2011〜14(不一致)</t>
        </is>
      </c>
      <c r="D7" s="16" t="inlineStr">
        <is>
          <t>3都市→約5年で60都市超</t>
        </is>
      </c>
      <c r="E7" s="16" t="inlineStr">
        <is>
          <t>自社メディア網、Atresmedia 広告枠、営業提携</t>
        </is>
      </c>
      <c r="F7" s="16" t="inlineStr">
        <is>
          <t>ウェイトリスト、Originals</t>
        </is>
      </c>
      <c r="G7" s="16" t="inlineStr">
        <is>
          <t>$300M超(2022-01)</t>
        </is>
      </c>
      <c r="H7" s="16" t="inlineStr">
        <is>
          <t>55か国超(2026-09[自社主張])</t>
        </is>
      </c>
      <c r="I7" s="16" t="inlineStr">
        <is>
          <t>2024年 EBITDA 黒字[自社主張]。売上非公表</t>
        </is>
      </c>
      <c r="J7" s="16" t="inlineStr">
        <is>
          <t>中</t>
        </is>
      </c>
    </row>
    <row r="8">
      <c r="A8" s="16" t="inlineStr">
        <is>
          <t>表A:グローバル大手・新興イベントツール・ライブ</t>
        </is>
      </c>
      <c r="B8" s="16" t="inlineStr">
        <is>
          <t>DICE</t>
        </is>
      </c>
      <c r="C8" s="16" t="n">
        <v>2014</v>
      </c>
      <c r="D8" s="16" t="inlineStr">
        <is>
          <t>創業者人脈で有名会場が初日参加</t>
        </is>
      </c>
      <c r="E8" s="16" t="inlineStr">
        <is>
          <t>会場の面取り、Discovery</t>
        </is>
      </c>
      <c r="F8" s="16" t="inlineStr">
        <is>
          <t>手数料なし/all-in、ウェイトリスト</t>
        </is>
      </c>
      <c r="G8" s="16" t="inlineStr">
        <is>
          <t>$200M超</t>
        </is>
      </c>
      <c r="H8" s="16" t="inlineStr">
        <is>
          <t>従業員 122(2017)→ 480(2022)→ 削減</t>
        </is>
      </c>
      <c r="I8" s="16" t="inlineStr">
        <is>
          <t>赤字(2022損失 $50.3M[検索要約])</t>
        </is>
      </c>
      <c r="J8" s="16" t="inlineStr">
        <is>
          <t>中</t>
        </is>
      </c>
    </row>
    <row r="9">
      <c r="A9" s="16" t="inlineStr">
        <is>
          <t>表A:グローバル大手・新興イベントツール・ライブ</t>
        </is>
      </c>
      <c r="B9" s="16" t="inlineStr">
        <is>
          <t>RA</t>
        </is>
      </c>
      <c r="C9" s="16" t="n">
        <v>2001</v>
      </c>
      <c r="D9" s="16" t="inlineStr">
        <is>
          <t>本業を続けながら創業</t>
        </is>
      </c>
      <c r="E9" s="16" t="inlineStr">
        <is>
          <t>編集コンテンツ、都市網</t>
        </is>
      </c>
      <c r="F9" s="16" t="inlineStr">
        <is>
          <t>メディア→チケット</t>
        </is>
      </c>
      <c r="G9" s="16" t="inlineStr">
        <is>
          <t>公表なし(公的助成 £750K)</t>
        </is>
      </c>
      <c r="H9" s="16" t="inlineStr">
        <is>
          <t>月間200万(2014)→ 約700万(2026)</t>
        </is>
      </c>
      <c r="I9" s="16" t="inlineStr">
        <is>
          <t>[不明]</t>
        </is>
      </c>
      <c r="J9" s="16" t="inlineStr">
        <is>
          <t>低〜中</t>
        </is>
      </c>
    </row>
    <row r="10">
      <c r="A10" s="16" t="inlineStr">
        <is>
          <t>表A:グローバル大手・新興イベントツール・ライブ</t>
        </is>
      </c>
      <c r="B10" s="16" t="inlineStr">
        <is>
          <t>Shotgun</t>
        </is>
      </c>
      <c r="C10" s="16" t="n">
        <v>2014</v>
      </c>
      <c r="D10" s="16" t="inlineStr">
        <is>
          <t>ユーザー8万→50万(2017→2020)</t>
        </is>
      </c>
      <c r="E10" s="16" t="inlineStr">
        <is>
          <t>独立プロモーター営業</t>
        </is>
      </c>
      <c r="F10" s="16" t="inlineStr">
        <is>
          <t>ダッシュボード・CRM</t>
        </is>
      </c>
      <c r="G10" s="16" t="inlineStr">
        <is>
          <t>約€10M[自己申告。不一致あり]</t>
        </is>
      </c>
      <c r="H10" s="16" t="inlineStr">
        <is>
          <t>仏国内500万(2025[自社発言])</t>
        </is>
      </c>
      <c r="I10" s="16" t="inlineStr">
        <is>
          <t>「構造的に損益分岐」[自社発言]</t>
        </is>
      </c>
      <c r="J10" s="16" t="inlineStr">
        <is>
          <t>低〜中</t>
        </is>
      </c>
    </row>
    <row r="11">
      <c r="A11" s="16" t="inlineStr">
        <is>
          <t>表B:新興国・ミッション型・独立系</t>
        </is>
      </c>
      <c r="B11" s="16" t="inlineStr">
        <is>
          <t>BookMyShow</t>
        </is>
      </c>
      <c r="C11" s="16" t="n">
        <v>1999</v>
      </c>
      <c r="D11" s="16" t="inlineStr">
        <is>
          <t>2002〜07年は B2B で映画館を握る</t>
        </is>
      </c>
      <c r="E11" s="16" t="inlineStr">
        <is>
          <t>映画館営業、TVCM(2013)</t>
        </is>
      </c>
      <c r="F11" s="16" t="inlineStr">
        <is>
          <t>convenience fee、モバイル</t>
        </is>
      </c>
      <c r="G11" s="16" t="inlineStr">
        <is>
          <t>$224.5M(2019)</t>
        </is>
      </c>
      <c r="H11" s="16" t="inlineStr">
        <is>
          <t>EBITDA 黒字2011年。FY25 総収入 ₹1,869 Cr</t>
        </is>
      </c>
      <c r="I11" s="16" t="inlineStr">
        <is>
          <t>FY25 純利益 ₹192 Cr</t>
        </is>
      </c>
      <c r="J11" s="16" t="inlineStr">
        <is>
          <t>中〜高</t>
        </is>
      </c>
    </row>
    <row r="12">
      <c r="A12" s="16" t="inlineStr">
        <is>
          <t>表B:新興国・ミッション型・独立系</t>
        </is>
      </c>
      <c r="B12" s="16" t="inlineStr">
        <is>
          <t>Sympla</t>
        </is>
      </c>
      <c r="C12" s="16" t="inlineStr">
        <is>
          <t>2012(2011説あり)</t>
        </is>
      </c>
      <c r="D12" s="16" t="inlineStr">
        <is>
          <t>小規模主催者。経路は [不明]</t>
        </is>
      </c>
      <c r="E12" s="16" t="inlineStr">
        <is>
          <t>M&amp;A(Eventick 2016)</t>
        </is>
      </c>
      <c r="F12" s="16" t="inlineStr">
        <is>
          <t>無料は無料・有料約10%</t>
        </is>
      </c>
      <c r="G12" s="16" t="inlineStr">
        <is>
          <t>Movile から R$28M超(〜2020)</t>
        </is>
      </c>
      <c r="H12" s="16" t="inlineStr">
        <is>
          <t>GMV R$40M(2015)→ 約R$3bn(2025)</t>
        </is>
      </c>
      <c r="I12" s="16" t="inlineStr">
        <is>
          <t>[不明]</t>
        </is>
      </c>
      <c r="J12" s="16" t="inlineStr">
        <is>
          <t>中</t>
        </is>
      </c>
    </row>
    <row r="13">
      <c r="A13" s="16" t="inlineStr">
        <is>
          <t>表B:新興国・ミッション型・独立系</t>
        </is>
      </c>
      <c r="B13" s="16" t="inlineStr">
        <is>
          <t>Humanitix</t>
        </is>
      </c>
      <c r="C13" s="16" t="n">
        <v>2016</v>
      </c>
      <c r="D13" s="16" t="inlineStr">
        <is>
          <t>創業者の電話営業、助成</t>
        </is>
      </c>
      <c r="E13" s="16" t="inlineStr">
        <is>
          <t>個別営業、Facebook 連携</t>
        </is>
      </c>
      <c r="F13" s="16" t="inlineStr">
        <is>
          <t>利益100%寄付</t>
        </is>
      </c>
      <c r="G13" s="16" t="inlineStr">
        <is>
          <t>助成のみ(株主なし)</t>
        </is>
      </c>
      <c r="H13" s="16" t="inlineStr">
        <is>
          <t>2025年に2,080万枚</t>
        </is>
      </c>
      <c r="I13" s="16" t="inlineStr">
        <is>
          <t>公益(非営利)</t>
        </is>
      </c>
      <c r="J13" s="16" t="inlineStr">
        <is>
          <t>中</t>
        </is>
      </c>
    </row>
    <row r="14">
      <c r="A14" s="16" t="inlineStr">
        <is>
          <t>表B:新興国・ミッション型・独立系</t>
        </is>
      </c>
      <c r="B14" s="16" t="inlineStr">
        <is>
          <t>Zeffy</t>
        </is>
      </c>
      <c r="C14" s="16" t="inlineStr">
        <is>
          <t>2017(前身 Simplyk)</t>
        </is>
      </c>
      <c r="D14" s="16" t="inlineStr">
        <is>
          <t>約1,000団体への営業は低転換</t>
        </is>
      </c>
      <c r="E14" s="16" t="inlineStr">
        <is>
          <t>Google Ads</t>
        </is>
      </c>
      <c r="F14" s="16" t="inlineStr">
        <is>
          <t>手数料0+任意チップ</t>
        </is>
      </c>
      <c r="G14" s="16" t="inlineStr">
        <is>
          <t>約 CA$440万</t>
        </is>
      </c>
      <c r="H14" s="16" t="inlineStr">
        <is>
          <t>NPO 約1,000(2021-11)→ 5万超(2025-05)</t>
        </is>
      </c>
      <c r="I14" s="16" t="inlineStr">
        <is>
          <t>2022〜23年に黒字(本人)</t>
        </is>
      </c>
      <c r="J14" s="16" t="inlineStr">
        <is>
          <t>中</t>
        </is>
      </c>
    </row>
    <row r="15">
      <c r="A15" s="16" t="inlineStr">
        <is>
          <t>表B:新興国・ミッション型・独立系</t>
        </is>
      </c>
      <c r="B15" s="16" t="inlineStr">
        <is>
          <t>HelloAsso</t>
        </is>
      </c>
      <c r="C15" s="16" t="n">
        <v>2009</v>
      </c>
      <c r="D15" s="16" t="inlineStr">
        <is>
          <t>2016年に月1,000〜1,500協会が登録</t>
        </is>
      </c>
      <c r="E15" s="16" t="inlineStr">
        <is>
          <t>自発登録、銀行ネットワーク</t>
        </is>
      </c>
      <c r="F15" s="16" t="inlineStr">
        <is>
          <t>無料+任意チップ</t>
        </is>
      </c>
      <c r="G15" s="16" t="inlineStr">
        <is>
          <t>€21M以上(銀行系)</t>
        </is>
      </c>
      <c r="H15" s="16" t="inlineStr">
        <is>
          <t>協会 22,000 → 376,000(2016→2024)</t>
        </is>
      </c>
      <c r="I15" s="16" t="inlineStr">
        <is>
          <t>チップで運営費を賄う</t>
        </is>
      </c>
      <c r="J15" s="16" t="inlineStr">
        <is>
          <t>中</t>
        </is>
      </c>
    </row>
    <row r="16">
      <c r="A16" s="16" t="inlineStr">
        <is>
          <t>表B:新興国・ミッション型・独立系</t>
        </is>
      </c>
      <c r="B16" s="16" t="inlineStr">
        <is>
          <t>Ticket Tailor</t>
        </is>
      </c>
      <c r="C16" s="16" t="n">
        <v>2011</v>
      </c>
      <c r="D16" s="16" t="inlineStr">
        <is>
          <t>電話・メール、3件目で獲得</t>
        </is>
      </c>
      <c r="E16" s="16" t="inlineStr">
        <is>
          <t>口コミ</t>
        </is>
      </c>
      <c r="F16" s="16" t="inlineStr">
        <is>
          <t>低価格・サポート</t>
        </is>
      </c>
      <c r="G16" s="16" t="inlineStr">
        <is>
          <t>なし</t>
        </is>
      </c>
      <c r="H16" s="16" t="inlineStr">
        <is>
          <t>2万枚(2011-07)→ 2,500万枚(2024)</t>
        </is>
      </c>
      <c r="I16" s="16" t="inlineStr">
        <is>
          <t>通常の利益率約30%、売上約$500万(2023、推計)</t>
        </is>
      </c>
      <c r="J16" s="16" t="inlineStr">
        <is>
          <t>中</t>
        </is>
      </c>
    </row>
    <row r="17">
      <c r="A17" s="16" t="inlineStr">
        <is>
          <t>表C:日本のコミュニティ・マーケットプレイス・食</t>
        </is>
      </c>
      <c r="B17" s="16" t="inlineStr">
        <is>
          <t>Peatix</t>
        </is>
      </c>
      <c r="C17" s="16" t="n">
        <v>2011</v>
      </c>
      <c r="D17" s="16" t="inlineStr">
        <is>
          <t>コミュニティを一から作る(共同創業者)</t>
        </is>
      </c>
      <c r="E17" s="16" t="inlineStr">
        <is>
          <t>手数料値下げ、発見メール</t>
        </is>
      </c>
      <c r="F17" s="16" t="inlineStr">
        <is>
          <t>低手数料、モバイル</t>
        </is>
      </c>
      <c r="G17" s="16" t="inlineStr">
        <is>
          <t>約$9M+JTB(額非公表)</t>
        </is>
      </c>
      <c r="H17" s="16" t="inlineStr">
        <is>
          <t>累計1万(2013-07)→ 約5万イベント(2015-03)</t>
        </is>
      </c>
      <c r="I17" s="16" t="inlineStr">
        <is>
          <t>[不明]</t>
        </is>
      </c>
      <c r="J17" s="16" t="inlineStr">
        <is>
          <t>中〜高</t>
        </is>
      </c>
    </row>
    <row r="18">
      <c r="A18" s="16" t="inlineStr">
        <is>
          <t>表C:日本のコミュニティ・マーケットプレイス・食</t>
        </is>
      </c>
      <c r="B18" s="16" t="inlineStr">
        <is>
          <t>Doorkeeper</t>
        </is>
      </c>
      <c r="C18" s="16" t="inlineStr">
        <is>
          <t>2010-07</t>
        </is>
      </c>
      <c r="D18" s="16" t="inlineStr">
        <is>
          <t>副業。IT 勉強会</t>
        </is>
      </c>
      <c r="E18" s="16" t="inlineStr">
        <is>
          <t>勉強会コミュニティ</t>
        </is>
      </c>
      <c r="F18" s="16" t="inlineStr">
        <is>
          <t>申込者のメンバー化</t>
        </is>
      </c>
      <c r="G18" s="16" t="inlineStr">
        <is>
          <t>なし</t>
        </is>
      </c>
      <c r="H18" s="16" t="inlineStr">
        <is>
          <t>累計1万イベント(2014-03)</t>
        </is>
      </c>
      <c r="I18" s="16" t="inlineStr">
        <is>
          <t>2016-08 に初黒字</t>
        </is>
      </c>
      <c r="J18" s="16" t="inlineStr">
        <is>
          <t>中</t>
        </is>
      </c>
    </row>
    <row r="19">
      <c r="A19" s="16" t="inlineStr">
        <is>
          <t>表C:日本のコミュニティ・マーケットプレイス・食</t>
        </is>
      </c>
      <c r="B19" s="16" t="inlineStr">
        <is>
          <t>connpass</t>
        </is>
      </c>
      <c r="C19" s="16" t="n">
        <v>2011</v>
      </c>
      <c r="D19" s="16" t="inlineStr">
        <is>
          <t>自社勉強会から</t>
        </is>
      </c>
      <c r="E19" s="16" t="inlineStr">
        <is>
          <t>自社主催、通知メール</t>
        </is>
      </c>
      <c r="F19" s="16" t="inlineStr">
        <is>
          <t>グループ通知</t>
        </is>
      </c>
      <c r="G19" s="16" t="inlineStr">
        <is>
          <t>外部資金なし</t>
        </is>
      </c>
      <c r="H19" s="16" t="inlineStr">
        <is>
          <t>約90万人(自称、時点不明)</t>
        </is>
      </c>
      <c r="I19" s="16" t="inlineStr">
        <is>
          <t>[不明]</t>
        </is>
      </c>
      <c r="J19" s="16" t="inlineStr">
        <is>
          <t>低〜中</t>
        </is>
      </c>
    </row>
    <row r="20">
      <c r="A20" s="16" t="inlineStr">
        <is>
          <t>表C:日本のコミュニティ・マーケットプレイス・食</t>
        </is>
      </c>
      <c r="B20" s="16" t="inlineStr">
        <is>
          <t>TECH PLAY</t>
        </is>
      </c>
      <c r="C20" s="16" t="inlineStr">
        <is>
          <t>不明(事業は2019-04〜)</t>
        </is>
      </c>
      <c r="D20" s="16" t="inlineStr">
        <is>
          <t>[不明]</t>
        </is>
      </c>
      <c r="E20" s="16" t="inlineStr">
        <is>
          <t>自社セミナー、企業営業</t>
        </is>
      </c>
      <c r="F20" s="16" t="inlineStr">
        <is>
          <t>Branding</t>
        </is>
      </c>
      <c r="G20" s="16" t="inlineStr">
        <is>
          <t>外部なし</t>
        </is>
      </c>
      <c r="H20" s="16" t="inlineStr">
        <is>
          <t>会員 15万 → 32万(2020-07→2026-06)</t>
        </is>
      </c>
      <c r="I20" s="16" t="inlineStr">
        <is>
          <t>[不明]</t>
        </is>
      </c>
      <c r="J20" s="16" t="inlineStr">
        <is>
          <t>中</t>
        </is>
      </c>
    </row>
    <row r="21">
      <c r="A21" s="16" t="inlineStr">
        <is>
          <t>表C:日本のコミュニティ・マーケットプレイス・食</t>
        </is>
      </c>
      <c r="B21" s="16" t="inlineStr">
        <is>
          <t>こくちーず</t>
        </is>
      </c>
      <c r="C21" s="16" t="n">
        <v>2009</v>
      </c>
      <c r="D21" s="16" t="inlineStr">
        <is>
          <t>[不明]</t>
        </is>
      </c>
      <c r="E21" s="16" t="inlineStr">
        <is>
          <t>メール、SEO(自社主張)</t>
        </is>
      </c>
      <c r="F21" s="16" t="inlineStr">
        <is>
          <t>無料+広告</t>
        </is>
      </c>
      <c r="G21" s="16" t="inlineStr">
        <is>
          <t>外部なし(資本金1,000万円)</t>
        </is>
      </c>
      <c r="H21" s="16" t="inlineStr">
        <is>
          <t>会員 30万 → 94万(2020-02→2025-11)</t>
        </is>
      </c>
      <c r="I21" s="16" t="inlineStr">
        <is>
          <t>[不明]</t>
        </is>
      </c>
      <c r="J21" s="16" t="inlineStr">
        <is>
          <t>中</t>
        </is>
      </c>
    </row>
    <row r="22">
      <c r="A22" s="16" t="inlineStr">
        <is>
          <t>表C:日本のコミュニティ・マーケットプレイス・食</t>
        </is>
      </c>
      <c r="B22" s="16" t="inlineStr">
        <is>
          <t>ストアカ</t>
        </is>
      </c>
      <c r="C22" s="16" t="n">
        <v>2012</v>
      </c>
      <c r="D22" s="16" t="inlineStr">
        <is>
          <t>9講座</t>
        </is>
      </c>
      <c r="E22" s="16" t="inlineStr">
        <is>
          <t>地域コーディネーター</t>
        </is>
      </c>
      <c r="F22" s="16" t="inlineStr">
        <is>
          <t>経路別手数料</t>
        </is>
      </c>
      <c r="G22" s="16" t="inlineStr">
        <is>
          <t>約5.7億円(公表分)</t>
        </is>
      </c>
      <c r="H22" s="16" t="inlineStr">
        <is>
          <t>生徒 14.6万 → 80万超(2017-09→2024-06)</t>
        </is>
      </c>
      <c r="I22" s="16" t="inlineStr">
        <is>
          <t>2024年6月期は赤字(第三者[二次])</t>
        </is>
      </c>
      <c r="J22" s="16" t="inlineStr">
        <is>
          <t>中</t>
        </is>
      </c>
    </row>
    <row r="23">
      <c r="A23" s="16" t="inlineStr">
        <is>
          <t>表C:日本のコミュニティ・マーケットプレイス・食</t>
        </is>
      </c>
      <c r="B23" s="16" t="inlineStr">
        <is>
          <t>街コン系</t>
        </is>
      </c>
      <c r="C23" s="16" t="inlineStr">
        <is>
          <t>2004(宮コン)/ 2011</t>
        </is>
      </c>
      <c r="D23" s="16" t="inlineStr">
        <is>
          <t>全国1,000回超(2012-10)</t>
        </is>
      </c>
      <c r="E23" s="16" t="inlineStr">
        <is>
          <t>名称統一、協会、自治体共催</t>
        </is>
      </c>
      <c r="F23" s="16" t="inlineStr">
        <is>
          <t>ポータル</t>
        </is>
      </c>
      <c r="G23" s="16" t="inlineStr">
        <is>
          <t>リンクバルは上場(額未確認)</t>
        </is>
      </c>
      <c r="H23" s="16" t="inlineStr">
        <is>
          <t>売上 27.19億 → 9.06億円(FY2019→FY2025、定義差あり)</t>
        </is>
      </c>
      <c r="I23" s="16" t="inlineStr">
        <is>
          <t>3期連続営業赤字</t>
        </is>
      </c>
      <c r="J23" s="16" t="inlineStr">
        <is>
          <t>中〜低</t>
        </is>
      </c>
    </row>
    <row r="24">
      <c r="A24" s="16" t="inlineStr">
        <is>
          <t>表C:日本のコミュニティ・マーケットプレイス・食</t>
        </is>
      </c>
      <c r="B24" s="16" t="inlineStr">
        <is>
          <t>シェアダイン</t>
        </is>
      </c>
      <c r="C24" s="16" t="n">
        <v>2017</v>
      </c>
      <c r="D24" s="16" t="inlineStr">
        <is>
          <t>登録シェフ約700人(2020-07)</t>
        </is>
      </c>
      <c r="E24" s="16" t="inlineStr">
        <is>
          <t>シェフ応援策、外部ショック</t>
        </is>
      </c>
      <c r="F24" s="16" t="inlineStr">
        <is>
          <t>出張→CHEFLINK</t>
        </is>
      </c>
      <c r="G24" s="16" t="inlineStr">
        <is>
          <t>シリーズB 21億円(累計は未確認)</t>
        </is>
      </c>
      <c r="H24" s="16" t="inlineStr">
        <is>
          <t>CHEFLINK 登録2.5万超(2025-08)</t>
        </is>
      </c>
      <c r="I24" s="16" t="inlineStr">
        <is>
          <t>[不明]</t>
        </is>
      </c>
      <c r="J24" s="16" t="inlineStr">
        <is>
          <t>中</t>
        </is>
      </c>
    </row>
    <row r="25">
      <c r="A25" s="16" t="inlineStr">
        <is>
          <t>表C:日本のコミュニティ・マーケットプレイス・食</t>
        </is>
      </c>
      <c r="B25" s="16" t="inlineStr">
        <is>
          <t>ZAIKO</t>
        </is>
      </c>
      <c r="C25" s="16" t="n">
        <v>2019</v>
      </c>
      <c r="D25" s="16" t="inlineStr">
        <is>
          <t>コロナ直後の配信</t>
        </is>
      </c>
      <c r="E25" s="16" t="inlineStr">
        <is>
          <t>アーティストの Twitter</t>
        </is>
      </c>
      <c r="F25" s="16" t="inlineStr">
        <is>
          <t>即応、手数料負担先の選択</t>
        </is>
      </c>
      <c r="G25" s="16" t="inlineStr">
        <is>
          <t>約US$2.8M</t>
        </is>
      </c>
      <c r="H25" s="16" t="inlineStr">
        <is>
          <t>配信チケット 約50万 → 100万枚(2020-07→11)</t>
        </is>
      </c>
      <c r="I25" s="16" t="inlineStr">
        <is>
          <t>[不明]</t>
        </is>
      </c>
      <c r="J25" s="16" t="inlineStr">
        <is>
          <t>中</t>
        </is>
      </c>
    </row>
    <row r="26">
      <c r="A26" s="16" t="inlineStr">
        <is>
          <t>表C:日本のコミュニティ・マーケットプレイス・食</t>
        </is>
      </c>
      <c r="B26" s="16" t="inlineStr">
        <is>
          <t>LIVEPOCKET</t>
        </is>
      </c>
      <c r="C26" s="16" t="inlineStr">
        <is>
          <t>不明</t>
        </is>
      </c>
      <c r="D26" s="16" t="inlineStr">
        <is>
          <t>[不明]</t>
        </is>
      </c>
      <c r="E26" s="16" t="inlineStr">
        <is>
          <t>KDDI の会員基盤</t>
        </is>
      </c>
      <c r="F26" s="16" t="inlineStr">
        <is>
          <t>—</t>
        </is>
      </c>
      <c r="G26" s="16" t="inlineStr">
        <is>
          <t>[不明](KDDI へ譲渡)</t>
        </is>
      </c>
      <c r="H26" s="16" t="inlineStr">
        <is>
          <t>会員1,200万超(2026-03)</t>
        </is>
      </c>
      <c r="I26" s="16" t="inlineStr">
        <is>
          <t>[不明]</t>
        </is>
      </c>
      <c r="J26" s="16" t="inlineStr">
        <is>
          <t>低</t>
        </is>
      </c>
    </row>
    <row r="27">
      <c r="A27" s="16" t="inlineStr">
        <is>
          <t>表C:日本のコミュニティ・マーケットプレイス・食</t>
        </is>
      </c>
      <c r="B27" s="16" t="inlineStr">
        <is>
          <t>TIGET</t>
        </is>
      </c>
      <c r="C27" s="16" t="n">
        <v>2013</v>
      </c>
      <c r="D27" s="16" t="inlineStr">
        <is>
          <t>取り置きの痛みから口コミ</t>
        </is>
      </c>
      <c r="E27" s="16" t="inlineStr">
        <is>
          <t>口コミ(芸人 MC)</t>
        </is>
      </c>
      <c r="F27" s="16" t="inlineStr">
        <is>
          <t>配信(2020-04)</t>
        </is>
      </c>
      <c r="G27" s="16" t="inlineStr">
        <is>
          <t>約5.3億円(非公開の2020-06分を除く合計[計算])</t>
        </is>
      </c>
      <c r="H27" s="16" t="inlineStr">
        <is>
          <t>1.5万組 → 2万組(2023-11→2026-07)</t>
        </is>
      </c>
      <c r="I27" s="16" t="inlineStr">
        <is>
          <t>[不明]</t>
        </is>
      </c>
      <c r="J27" s="16" t="inlineStr">
        <is>
          <t>中</t>
        </is>
      </c>
    </row>
    <row r="28">
      <c r="A28" s="16" t="inlineStr">
        <is>
          <t>表D:アジア(日本以外)</t>
        </is>
      </c>
      <c r="B28" s="16" t="inlineStr">
        <is>
          <t>문토</t>
        </is>
      </c>
      <c r="C28" s="16" t="n">
        <v>2017</v>
      </c>
      <c r="D28" s="16" t="inlineStr">
        <is>
          <t>2モイム・約20人</t>
        </is>
      </c>
      <c r="E28" s="16" t="inlineStr">
        <is>
          <t>個別提案、SNS</t>
        </is>
      </c>
      <c r="F28" s="16" t="inlineStr">
        <is>
          <t>誰でも有料モイム開設</t>
        </is>
      </c>
      <c r="G28" s="16" t="inlineStr">
        <is>
          <t>72億ウォン</t>
        </is>
      </c>
      <c r="H28" s="16" t="inlineStr">
        <is>
          <t>アプリ開始25か月で52万人</t>
        </is>
      </c>
      <c r="I28" s="16" t="inlineStr">
        <is>
          <t>2024年売上は前年比76.1%水準[二次]</t>
        </is>
      </c>
      <c r="J28" s="16" t="inlineStr">
        <is>
          <t>中</t>
        </is>
      </c>
    </row>
    <row r="29">
      <c r="A29" s="16" t="inlineStr">
        <is>
          <t>表D:アジア(日本以外)</t>
        </is>
      </c>
      <c r="B29" s="16" t="inlineStr">
        <is>
          <t>트레바리</t>
        </is>
      </c>
      <c r="C29" s="16" t="n">
        <v>2015</v>
      </c>
      <c r="D29" s="16" t="inlineStr">
        <is>
          <t>4クラブ・80人</t>
        </is>
      </c>
      <c r="E29" s="16" t="inlineStr">
        <is>
          <t>専門家を足で口説く</t>
        </is>
      </c>
      <c r="F29" s="16" t="inlineStr">
        <is>
          <t>会費制・読書後記</t>
        </is>
      </c>
      <c r="G29" s="16" t="inlineStr">
        <is>
          <t>約90億ウォン</t>
        </is>
      </c>
      <c r="H29" s="16" t="inlineStr">
        <is>
          <t>3年で約50倍 → コロナで会員75%減</t>
        </is>
      </c>
      <c r="I29" s="16" t="inlineStr">
        <is>
          <t>7年連続赤字との報道</t>
        </is>
      </c>
      <c r="J29" s="16" t="inlineStr">
        <is>
          <t>中</t>
        </is>
      </c>
    </row>
    <row r="30">
      <c r="A30" s="16" t="inlineStr">
        <is>
          <t>表D:アジア(日本以外)</t>
        </is>
      </c>
      <c r="B30" s="16" t="inlineStr">
        <is>
          <t>프립</t>
        </is>
      </c>
      <c r="C30" s="16" t="inlineStr">
        <is>
          <t>2013頃</t>
        </is>
      </c>
      <c r="D30" s="16" t="inlineStr">
        <is>
          <t>掲示板・SNSで約1万人規模</t>
        </is>
      </c>
      <c r="E30" s="16" t="inlineStr">
        <is>
          <t>創業者の自主企画</t>
        </is>
      </c>
      <c r="F30" s="16" t="inlineStr">
        <is>
          <t>ホスト手数料半減</t>
        </is>
      </c>
      <c r="G30" s="16" t="inlineStr">
        <is>
          <t>180億ウォン</t>
        </is>
      </c>
      <c r="H30" s="16" t="inlineStr">
        <is>
          <t>会員 約80万(2019)→ 120万(2022-04)</t>
        </is>
      </c>
      <c r="I30" s="16" t="inlineStr">
        <is>
          <t>営業赤字(第三者集計)</t>
        </is>
      </c>
      <c r="J30" s="16" t="inlineStr">
        <is>
          <t>中</t>
        </is>
      </c>
    </row>
    <row r="31">
      <c r="A31" s="16" t="inlineStr">
        <is>
          <t>表D:アジア(日本以外)</t>
        </is>
      </c>
      <c r="B31" s="16" t="inlineStr">
        <is>
          <t>당근 모임</t>
        </is>
      </c>
      <c r="C31" s="16" t="inlineStr">
        <is>
          <t>2023-07</t>
        </is>
      </c>
      <c r="D31" s="16" t="inlineStr">
        <is>
          <t>4週で約400モイム</t>
        </is>
      </c>
      <c r="E31" s="16" t="inlineStr">
        <is>
          <t>既存アプリ内の配信</t>
        </is>
      </c>
      <c r="F31" s="16" t="inlineStr">
        <is>
          <t>無料開設+運営ツール</t>
        </is>
      </c>
      <c r="G31" s="16" t="inlineStr">
        <is>
          <t>当근 全体 2,270億ウォン</t>
        </is>
      </c>
      <c r="H31" s="16" t="inlineStr">
        <is>
          <t>1年で利用者1,500万</t>
        </is>
      </c>
      <c r="I31" s="16" t="inlineStr">
        <is>
          <t>当근 単体は営業黒字(広告)</t>
        </is>
      </c>
      <c r="J31" s="16" t="inlineStr">
        <is>
          <t>中</t>
        </is>
      </c>
    </row>
    <row r="32">
      <c r="A32" s="16" t="inlineStr">
        <is>
          <t>表D:アジア(日本以外)</t>
        </is>
      </c>
      <c r="B32" s="16" t="inlineStr">
        <is>
          <t>薯岛</t>
        </is>
      </c>
      <c r="C32" s="16" t="n">
        <v>2024</v>
      </c>
      <c r="D32" s="16" t="inlineStr">
        <is>
          <t>創業者が40〜50回自ら開催</t>
        </is>
      </c>
      <c r="E32" s="16" t="inlineStr">
        <is>
          <t>小红书の投稿</t>
        </is>
      </c>
      <c r="F32" s="16" t="inlineStr">
        <is>
          <t>5人マッチング</t>
        </is>
      </c>
      <c r="G32" s="16" t="inlineStr">
        <is>
          <t>確認できず</t>
        </is>
      </c>
      <c r="H32" s="16" t="inlineStr">
        <is>
          <t>1.2万〜3万人(出典で不一致)</t>
        </is>
      </c>
      <c r="I32" s="16" t="inlineStr">
        <is>
          <t>[不明]</t>
        </is>
      </c>
      <c r="J32" s="16" t="inlineStr">
        <is>
          <t>中〜低</t>
        </is>
      </c>
    </row>
    <row r="33">
      <c r="A33" s="16" t="inlineStr">
        <is>
          <t>表D:アジア(日本以外)</t>
        </is>
      </c>
      <c r="B33" s="16" t="inlineStr">
        <is>
          <t>KKTIX</t>
        </is>
      </c>
      <c r="C33" s="16" t="n">
        <v>2013</v>
      </c>
      <c r="D33" s="16" t="inlineStr">
        <is>
          <t>KKBOX の会員基盤</t>
        </is>
      </c>
      <c r="E33" s="16" t="inlineStr">
        <is>
          <t>グループ連携</t>
        </is>
      </c>
      <c r="F33" s="16" t="inlineStr">
        <is>
          <t>—</t>
        </is>
      </c>
      <c r="G33" s="16" t="inlineStr">
        <is>
          <t>独立調達なし</t>
        </is>
      </c>
      <c r="H33" s="16" t="inlineStr">
        <is>
          <t>年16,000件超(2020)</t>
        </is>
      </c>
      <c r="I33" s="16" t="inlineStr">
        <is>
          <t>[不明]</t>
        </is>
      </c>
      <c r="J33" s="16" t="inlineStr">
        <is>
          <t>低〜中</t>
        </is>
      </c>
    </row>
    <row r="34">
      <c r="A34" s="16" t="inlineStr">
        <is>
          <t>表D:アジア(日本以外)</t>
        </is>
      </c>
      <c r="B34" s="16" t="inlineStr">
        <is>
          <t>Accupass / 活动行</t>
        </is>
      </c>
      <c r="C34" s="16" t="inlineStr">
        <is>
          <t>2012 / 2013</t>
        </is>
      </c>
      <c r="D34" s="16" t="inlineStr">
        <is>
          <t>中小主催者から入る</t>
        </is>
      </c>
      <c r="E34" s="16" t="inlineStr">
        <is>
          <t>WeChat 枠、手数料免除</t>
        </is>
      </c>
      <c r="F34" s="16" t="inlineStr">
        <is>
          <t>垂直型 SaaS</t>
        </is>
      </c>
      <c r="G34" s="16" t="inlineStr">
        <is>
          <t>数百万米ドル×2+A+</t>
        </is>
      </c>
      <c r="H34" s="16" t="inlineStr">
        <is>
          <t>2016年に売上4倍超</t>
        </is>
      </c>
      <c r="I34" s="16" t="inlineStr">
        <is>
          <t>損益均衡は2016〜2018で食い違い</t>
        </is>
      </c>
      <c r="J34" s="16" t="inlineStr">
        <is>
          <t>中〜低</t>
        </is>
      </c>
    </row>
    <row r="35">
      <c r="A35" s="16" t="inlineStr">
        <is>
          <t>表E:食事ソーシャルと飲食店プラットフォーム</t>
        </is>
      </c>
      <c r="B35" s="16" t="inlineStr">
        <is>
          <t>Timeleft</t>
        </is>
      </c>
      <c r="C35" s="16" t="inlineStr">
        <is>
          <t>2020(夕食は2023-05〜)</t>
        </is>
      </c>
      <c r="D35" s="16" t="inlineStr">
        <is>
          <t>初週売上€110〜125</t>
        </is>
      </c>
      <c r="E35" s="16" t="inlineStr">
        <is>
          <t>有料広告、創業者の発信</t>
        </is>
      </c>
      <c r="F35" s="16" t="inlineStr">
        <is>
          <t>固定曜日・6人卓</t>
        </is>
      </c>
      <c r="G35" s="16" t="inlineStr">
        <is>
          <t>$2M〜$7M(確定不可)</t>
        </is>
      </c>
      <c r="H35" s="16" t="inlineStr">
        <is>
          <t>1年で320都市 → 約220都市</t>
        </is>
      </c>
      <c r="I35" s="16" t="inlineStr">
        <is>
          <t>ARR €18M[自己申告]。黒字は [不明]</t>
        </is>
      </c>
      <c r="J35" s="16" t="inlineStr">
        <is>
          <t>低〜中</t>
        </is>
      </c>
    </row>
    <row r="36">
      <c r="A36" s="16" t="inlineStr">
        <is>
          <t>表E:食事ソーシャルと飲食店プラットフォーム</t>
        </is>
      </c>
      <c r="B36" s="16" t="inlineStr">
        <is>
          <t>OpenTable</t>
        </is>
      </c>
      <c r="C36" s="16" t="n">
        <v>1998</v>
      </c>
      <c r="D36" s="16" t="inlineStr">
        <is>
          <t>初期は4都市圏</t>
        </is>
      </c>
      <c r="E36" s="16" t="inlineStr">
        <is>
          <t>店舗への直販営業</t>
        </is>
      </c>
      <c r="F36" s="16" t="inlineStr">
        <is>
          <t>電子予約台帳(ERB)</t>
        </is>
      </c>
      <c r="G36" s="16" t="inlineStr">
        <is>
          <t>優先株の帳簿 $21.9M(総額は確定不可)</t>
        </is>
      </c>
      <c r="H36" s="16" t="inlineStr">
        <is>
          <t>設置店 2,423 → 10,335(2004→2008)</t>
        </is>
      </c>
      <c r="I36" s="16" t="inlineStr">
        <is>
          <t>2008年に営業黒字</t>
        </is>
      </c>
      <c r="J36" s="16" t="inlineStr">
        <is>
          <t>高(S-1)</t>
        </is>
      </c>
    </row>
    <row r="37">
      <c r="A37" s="16" t="inlineStr">
        <is>
          <t>表E:食事ソーシャルと飲食店プラットフォーム</t>
        </is>
      </c>
      <c r="B37" s="16" t="inlineStr">
        <is>
          <t>Dinner Lab</t>
        </is>
      </c>
      <c r="C37" s="16" t="inlineStr">
        <is>
          <t>2012(2011説あり)</t>
        </is>
      </c>
      <c r="D37" s="16" t="inlineStr">
        <is>
          <t>約2年で10都市</t>
        </is>
      </c>
      <c r="E37" s="16" t="inlineStr">
        <is>
          <t>会員向けメール</t>
        </is>
      </c>
      <c r="F37" s="16" t="inlineStr">
        <is>
          <t>会員制・自社運営</t>
        </is>
      </c>
      <c r="G37" s="16" t="inlineStr">
        <is>
          <t>約$9.1M</t>
        </is>
      </c>
      <c r="H37" s="16" t="inlineStr">
        <is>
          <t>10都市(2014-06)→ 31都市(2015-12)</t>
        </is>
      </c>
      <c r="I37" s="16" t="inlineStr">
        <is>
          <t>黒字なしで閉鎖</t>
        </is>
      </c>
      <c r="J37" s="16" t="inlineStr">
        <is>
          <t>中〜高</t>
        </is>
      </c>
    </row>
    <row r="38">
      <c r="A38" s="16" t="inlineStr">
        <is>
          <t>表E:食事ソーシャルと飲食店プラットフォーム</t>
        </is>
      </c>
      <c r="B38" s="16" t="inlineStr">
        <is>
          <t>Eatwith</t>
        </is>
      </c>
      <c r="C38" s="16" t="n">
        <v>2012</v>
      </c>
      <c r="D38" s="16" t="inlineStr">
        <is>
          <t>[不明]</t>
        </is>
      </c>
      <c r="E38" s="16" t="inlineStr">
        <is>
          <t>TripAdvisor 掲載</t>
        </is>
      </c>
      <c r="F38" s="16" t="inlineStr">
        <is>
          <t>ホスト市場</t>
        </is>
      </c>
      <c r="G38" s="16" t="inlineStr">
        <is>
          <t>約$8M</t>
        </is>
      </c>
      <c r="H38" s="16" t="inlineStr">
        <is>
          <t>[不明]</t>
        </is>
      </c>
      <c r="I38" s="16" t="inlineStr">
        <is>
          <t>[不明]</t>
        </is>
      </c>
      <c r="J38" s="16" t="inlineStr">
        <is>
          <t>中</t>
        </is>
      </c>
    </row>
    <row r="39">
      <c r="A39" s="16" t="inlineStr">
        <is>
          <t>表E:食事ソーシャルと飲食店プラットフォーム</t>
        </is>
      </c>
      <c r="B39" s="16" t="inlineStr">
        <is>
          <t>Resy</t>
        </is>
      </c>
      <c r="C39" s="16" t="n">
        <v>2014</v>
      </c>
      <c r="D39" s="16" t="inlineStr">
        <is>
          <t>厳選20店</t>
        </is>
      </c>
      <c r="E39" s="16" t="inlineStr">
        <is>
          <t>少数店+Amex 連携</t>
        </is>
      </c>
      <c r="F39" s="16" t="inlineStr">
        <is>
          <t>予約管理</t>
        </is>
      </c>
      <c r="G39" s="16" t="inlineStr">
        <is>
          <t>$15M</t>
        </is>
      </c>
      <c r="H39" s="16" t="inlineStr">
        <is>
          <t>20店 → 約4,000店(2014→2019)</t>
        </is>
      </c>
      <c r="I39" s="16" t="inlineStr">
        <is>
          <t>[不明]</t>
        </is>
      </c>
      <c r="J39" s="16" t="inlineStr">
        <is>
          <t>中</t>
        </is>
      </c>
    </row>
    <row r="40">
      <c r="A40" s="16" t="inlineStr">
        <is>
          <t>表E:食事ソーシャルと飲食店プラットフォーム</t>
        </is>
      </c>
      <c r="B40" s="16" t="inlineStr">
        <is>
          <t>Tock</t>
        </is>
      </c>
      <c r="C40" s="16" t="n">
        <v>2014</v>
      </c>
      <c r="D40" s="16" t="inlineStr">
        <is>
          <t>創業者の高級店</t>
        </is>
      </c>
      <c r="E40" s="16" t="inlineStr">
        <is>
          <t>高級店への採用</t>
        </is>
      </c>
      <c r="F40" s="16" t="inlineStr">
        <is>
          <t>前払いチケット</t>
        </is>
      </c>
      <c r="G40" s="16" t="inlineStr">
        <is>
          <t>$10M(2020年のみ公表)</t>
        </is>
      </c>
      <c r="H40" s="16" t="inlineStr">
        <is>
          <t>7,000超の運営者(2021)</t>
        </is>
      </c>
      <c r="I40" s="16" t="inlineStr">
        <is>
          <t>[不明]</t>
        </is>
      </c>
      <c r="J40" s="16" t="inlineStr">
        <is>
          <t>中</t>
        </is>
      </c>
    </row>
    <row r="41">
      <c r="A41" s="16" t="inlineStr">
        <is>
          <t>表E:食事ソーシャルと飲食店プラットフォーム</t>
        </is>
      </c>
      <c r="B41" s="16" t="inlineStr">
        <is>
          <t>TableCheck</t>
        </is>
      </c>
      <c r="C41" s="16" t="n">
        <v>2011</v>
      </c>
      <c r="D41" s="16" t="inlineStr">
        <is>
          <t>数百店への聞き取り</t>
        </is>
      </c>
      <c r="E41" s="16" t="inlineStr">
        <is>
          <t>提携(Google・食べログ)</t>
        </is>
      </c>
      <c r="F41" s="16" t="inlineStr">
        <is>
          <t>月額固定・送客手数料なし</t>
        </is>
      </c>
      <c r="G41" s="16" t="inlineStr">
        <is>
          <t>¥17.89億[報道。ラウンド合計と不一致]</t>
        </is>
      </c>
      <c r="H41" s="16" t="inlineStr">
        <is>
          <t>約4,000店 → 約11,300店(2019→2025)</t>
        </is>
      </c>
      <c r="I41" s="16" t="inlineStr">
        <is>
          <t>2026-02期は純損失(低信頼)</t>
        </is>
      </c>
      <c r="J41" s="16" t="inlineStr">
        <is>
          <t>中</t>
        </is>
      </c>
    </row>
    <row r="42">
      <c r="A42" s="16" t="inlineStr">
        <is>
          <t>表E:食事ソーシャルと飲食店プラットフォーム</t>
        </is>
      </c>
      <c r="B42" s="16" t="n">
        <v>222</v>
      </c>
      <c r="C42" s="16" t="n">
        <v>2021</v>
      </c>
      <c r="D42" s="16" t="inlineStr">
        <is>
          <t>裏庭ディナー</t>
        </is>
      </c>
      <c r="E42" s="16" t="inlineStr">
        <is>
          <t>口コミ</t>
        </is>
      </c>
      <c r="F42" s="16" t="inlineStr">
        <is>
          <t>LA の週次ディナー</t>
        </is>
      </c>
      <c r="G42" s="16" t="inlineStr">
        <is>
          <t>$1.45M超</t>
        </is>
      </c>
      <c r="H42" s="16" t="inlineStr">
        <is>
          <t>[不明]</t>
        </is>
      </c>
      <c r="I42" s="16" t="inlineStr">
        <is>
          <t>[不明]</t>
        </is>
      </c>
      <c r="J42" s="16" t="inlineStr">
        <is>
          <t>低</t>
        </is>
      </c>
    </row>
    <row r="43">
      <c r="A43" s="16" t="inlineStr">
        <is>
          <t>表E:食事ソーシャルと飲食店プラットフォーム</t>
        </is>
      </c>
      <c r="B43" s="16" t="inlineStr">
        <is>
          <t>Pie</t>
        </is>
      </c>
      <c r="C43" s="16" t="n">
        <v>2022</v>
      </c>
      <c r="D43" s="16" t="inlineStr">
        <is>
          <t>—</t>
        </is>
      </c>
      <c r="E43" s="16" t="inlineStr">
        <is>
          <t>主催者への報酬</t>
        </is>
      </c>
      <c r="F43" s="16" t="inlineStr">
        <is>
          <t>Creator Fund</t>
        </is>
      </c>
      <c r="G43" s="16" t="inlineStr">
        <is>
          <t>$24M</t>
        </is>
      </c>
      <c r="H43" s="16" t="inlineStr">
        <is>
          <t>約23,000(2024-10)→ 約30万人(2026-08)</t>
        </is>
      </c>
      <c r="I43" s="16" t="inlineStr">
        <is>
          <t>[不明]</t>
        </is>
      </c>
      <c r="J43" s="16" t="inlineStr">
        <is>
          <t>中</t>
        </is>
      </c>
    </row>
  </sheetData>
  <autoFilter ref="A1:J4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7"/>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36.2" customWidth="1" min="1" max="1"/>
    <col width="60" customWidth="1" min="2" max="2"/>
    <col width="60" customWidth="1" min="3" max="3"/>
    <col width="60" customWidth="1" min="4" max="4"/>
    <col width="40" customWidth="1" min="5" max="5"/>
  </cols>
  <sheetData>
    <row r="1">
      <c r="A1" s="10" t="inlineStr">
        <is>
          <t>機能・モデル</t>
        </is>
      </c>
      <c r="B1" s="10" t="inlineStr">
        <is>
          <t>サービス・時期</t>
        </is>
      </c>
      <c r="C1" s="10" t="inlineStr">
        <is>
          <t>動いた指標</t>
        </is>
      </c>
      <c r="D1" s="10" t="inlineStr">
        <is>
          <t>根拠</t>
        </is>
      </c>
      <c r="E1" s="10" t="inlineStr">
        <is>
          <t>因果の強さ</t>
        </is>
      </c>
    </row>
    <row r="2">
      <c r="A2" s="16" t="inlineStr">
        <is>
          <t>Facebook 連携・共有</t>
        </is>
      </c>
      <c r="B2" s="16" t="inlineStr">
        <is>
          <t>Eventbrite 2008〜2010</t>
        </is>
      </c>
      <c r="C2" s="16" t="inlineStr">
        <is>
          <t>Facebook が2010-10 に最大の流入源。共有1回あたり平均 $1.78(Facebook $2.52)</t>
        </is>
      </c>
      <c r="D2" s="16" t="inlineStr">
        <is>
          <t>同社の自前計測 (TechCrunch 2010-10、TechCrunch 2010-10(共有の価値))
https://techcrunch.com/2010/10/06/eventbrite-20-million
https://techcrunch.com/2010/10/14/eventbrite-facebook-share</t>
        </is>
      </c>
      <c r="E2" s="16" t="inlineStr">
        <is>
          <t>中</t>
        </is>
      </c>
    </row>
    <row r="3">
      <c r="A3" s="16" t="inlineStr">
        <is>
          <t>Facebook Events 連携</t>
        </is>
      </c>
      <c r="B3" s="16" t="inlineStr">
        <is>
          <t>Humanitix 2019</t>
        </is>
      </c>
      <c r="C3" s="16" t="inlineStr">
        <is>
          <t>成長400〜500%(実数非開示)</t>
        </is>
      </c>
      <c r="D3" s="16" t="inlineStr">
        <is>
          <t>自社主張 (SmartCompany 2019-10)
https://www.smartcompany.com.au/startupsmart/humanitix-partnership-facebook/</t>
        </is>
      </c>
      <c r="E3" s="16" t="inlineStr">
        <is>
          <t>弱</t>
        </is>
      </c>
    </row>
    <row r="4">
      <c r="A4" s="16" t="inlineStr">
        <is>
          <t>アカウント不要の RSVP・匿名購入</t>
        </is>
      </c>
      <c r="B4" s="16" t="inlineStr">
        <is>
          <t>Luma・Partiful(2020)、Sympla、Doorkeeper(メールのみ)</t>
        </is>
      </c>
      <c r="C4" s="16" t="inlineStr">
        <is>
          <t>数値なし(Luma は数百万ユーザーに対しアプリ DL 約25万 [二次の推計])</t>
        </is>
      </c>
      <c r="D4" s="16" t="inlineStr">
        <is>
          <t>創業者・CEO の説明</t>
        </is>
      </c>
      <c r="E4" s="16" t="inlineStr">
        <is>
          <t>弱</t>
        </is>
      </c>
    </row>
    <row r="5">
      <c r="A5" s="16" t="inlineStr">
        <is>
          <t>通知メール</t>
        </is>
      </c>
      <c r="B5" s="16" t="inlineStr">
        <is>
          <t>connpass</t>
        </is>
      </c>
      <c r="C5" s="16" t="inlineStr">
        <is>
          <t>会場の8〜9割が通知経由(創業者談)</t>
        </is>
      </c>
      <c r="D5" s="16" t="inlineStr">
        <is>
          <t>CodeZine 要約 [二次] (CodeZine(二次))
https://codezine.jp/article/detail/9824</t>
        </is>
      </c>
      <c r="E5" s="16" t="inlineStr">
        <is>
          <t>弱〜中</t>
        </is>
      </c>
    </row>
    <row r="6">
      <c r="A6" s="16" t="inlineStr">
        <is>
          <t>手数料の値下げ・免除</t>
        </is>
      </c>
      <c r="B6" s="16" t="inlineStr">
        <is>
          <t>Peatix 2013-02(6% → 2.9%+70円/注文)、프립 2022-03(半減)、Accupass 2015</t>
        </is>
      </c>
      <c r="C6" s="16" t="inlineStr">
        <is>
          <t>Peatix は5か月で累計 5,000 → 10,000イベント</t>
        </is>
      </c>
      <c r="D6" s="16" t="inlineStr">
        <is>
          <t>公式リリース (Value Press 2013-02、TechCrunch 2013-07)
https://www.value-press.com/pressrelease/107129
https://techcrunch.com/?p=844350</t>
        </is>
      </c>
      <c r="E6" s="16" t="inlineStr">
        <is>
          <t>弱(相関のみ)</t>
        </is>
      </c>
    </row>
    <row r="7">
      <c r="A7" s="16" t="inlineStr">
        <is>
          <t>手数料ゼロ+任意チップ</t>
        </is>
      </c>
      <c r="B7" s="16" t="inlineStr">
        <is>
          <t>Zeffy 2018末〜、HelloAsso 2015</t>
        </is>
      </c>
      <c r="C7" s="16" t="inlineStr">
        <is>
          <t>Zeffy の NPO は約1,000(2021-11)→ 約30,000(2024-11)。HelloAsso はチップが収益の50%(2015)</t>
        </is>
      </c>
      <c r="D7" s="16" t="inlineStr">
        <is>
          <t>当事者証言 (Product Market Fit Show EP73、Carenews 2020-04)
https://pmfshow.buzzsprout.com/1889238/episodes/16143484-after-i-passed-this-startup-grew-30x-in-3-years-to-10m-arr-here-s-how-he-did-it-what-i-missed-francois-de-kerret-co-founder-of-zeffy
https://www.carenews.com/fr/news/lea-thomassin-le-modele-economique-du-pourboire-correspond-a-l-adn-du-secteur-associatif</t>
        </is>
      </c>
      <c r="E7" s="16" t="inlineStr">
        <is>
          <t>中</t>
        </is>
      </c>
    </row>
    <row r="8">
      <c r="A8" s="16" t="inlineStr">
        <is>
          <t>ウェイトリスト・事前登録</t>
        </is>
      </c>
      <c r="B8" s="16" t="inlineStr">
        <is>
          <t>Fever 2018、DICE 2014〜</t>
        </is>
      </c>
      <c r="C8" s="16" t="inlineStr">
        <is>
          <t>Fever は12,000人超で $60 が数日で完売。DICE は「数万の追加公演」(2024)、New Shows Thursday で初週 +320%(2019)</t>
        </is>
      </c>
      <c r="D8" s="16" t="inlineStr">
        <is>
          <t>自社主張 (TechCrunch 2018-07、Music Week 2019-10)
https://techcrunch.com/2018/07/05/fever-gets-20m-to-delight-more-hipsters-with-a-b-tested-madhatters-gt-parties
https://www.musicweek.com/digital/read/we-help-promoters-and-venues-pack-shows-dice-founder-talks-ticketing/077698</t>
        </is>
      </c>
      <c r="E8" s="16" t="inlineStr">
        <is>
          <t>弱〜中</t>
        </is>
      </c>
    </row>
    <row r="9">
      <c r="A9" s="16" t="inlineStr">
        <is>
          <t>全額込み表示(all-in)</t>
        </is>
      </c>
      <c r="B9" s="16" t="inlineStr">
        <is>
          <t>DICE、RA</t>
        </is>
      </c>
      <c r="C9" s="16" t="inlineStr">
        <is>
          <t>RA は単一価格表示で転換率が3〜5%高いと説明 [検索要約]。Posh は手数料表示を巡る集団訴訟(和解金 $120万)</t>
        </is>
      </c>
      <c r="D9" s="16" t="inlineStr">
        <is>
          <t>RA サポートの要約、訴訟の二次記事 (RA サポート: Booking Fees、All About Lawyer(Posh 集団訴訟))
https://support.ra.co/article/40-booking-fees
https://allaboutlawyer.com/1200000-posh-group-deceptive-ticket-fee-class-action-settlement/</t>
        </is>
      </c>
      <c r="E9" s="16" t="inlineStr">
        <is>
          <t>弱</t>
        </is>
      </c>
    </row>
    <row r="10">
      <c r="A10" s="16" t="inlineStr">
        <is>
          <t>売上連動の報酬制リーダー・主催者</t>
        </is>
      </c>
      <c r="B10" s="16" t="inlineStr">
        <is>
          <t>트레바리(クラブ長)、Posh(Kickback・主催者紹介)、Pie(Creator Fund)、シェアダイン(報酬保証)</t>
        </is>
      </c>
      <c r="C10" s="16" t="inlineStr">
        <is>
          <t>Pie は約23,000(2024-10)→ 130,000 MAU(2025-03)。Posh は新規主催者の手数料の10%を12か月支払う</t>
        </is>
      </c>
      <c r="D10" s="16" t="inlineStr">
        <is>
          <t>報道・自社ページ (TechCrunch 2024-11、Posh Organizer Affiliate Program)
https://techcrunch.com/2024/11/19/irl-social-app-pie-is-coming-to-sf-to-make-you-less-lonely
https://university.posh.vip/university/post/posh-affiliate-program</t>
        </is>
      </c>
      <c r="E10" s="16" t="inlineStr">
        <is>
          <t>弱(相関のみ)</t>
        </is>
      </c>
    </row>
    <row r="11">
      <c r="A11" s="16" t="inlineStr">
        <is>
          <t>供給者の業務ソフトを先行(ERB)</t>
        </is>
      </c>
      <c r="B11" s="16" t="inlineStr">
        <is>
          <t>OpenTable 1999〜2008</t>
        </is>
      </c>
      <c r="C11" s="16" t="inlineStr">
        <is>
          <t>設置店 2,423(2004)→ 10,335(2008)</t>
        </is>
      </c>
      <c r="D11" s="16" t="inlineStr">
        <is>
          <t>S-1 (OpenTable S-1(2009))
https://www.sec.gov/Archives/edgar/data/0001125914/000104746909008000/a2194323zs-1.htm</t>
        </is>
      </c>
      <c r="E11" s="16" t="inlineStr">
        <is>
          <t>中(単体価値と営業の効果は未分離)</t>
        </is>
      </c>
    </row>
    <row r="12">
      <c r="A12" s="16" t="inlineStr">
        <is>
          <t>発見・レコメンド</t>
        </is>
      </c>
      <c r="B12" s="16" t="inlineStr">
        <is>
          <t>Peatix 2015、Eventbrite 2023、DICE 2021</t>
        </is>
      </c>
      <c r="C12" s="16" t="inlineStr">
        <is>
          <t>取扱の約15%が発見経由(Peatix)、発券の30%超(Eventbrite 2023-03)、販売の40%超(DICE)</t>
        </is>
      </c>
      <c r="D12" s="16" t="inlineStr">
        <is>
          <t>自社発表 (THE BRIDGE 2015-03)
https://thebridge.jp/2015/03/peatix-5m-funding-new-markets-asia</t>
        </is>
      </c>
      <c r="E12" s="16" t="inlineStr">
        <is>
          <t>中(定義は自社)</t>
        </is>
      </c>
    </row>
    <row r="13">
      <c r="A13" s="16" t="inlineStr">
        <is>
          <t>配信への即応(外部ショック)</t>
        </is>
      </c>
      <c r="B13" s="16" t="inlineStr">
        <is>
          <t>Peatix・ZAIKO・TIGET・ストアカ・Sympla(2020)</t>
        </is>
      </c>
      <c r="C13" s="16" t="inlineStr">
        <is>
          <t>Peatix は週5万→8.5万人、ZAIKO は配信チケット 約50万(2020-07)→ 100万枚超(2020-11)</t>
        </is>
      </c>
      <c r="D13" s="16" t="inlineStr">
        <is>
          <t>報道 (ビジネス+IT 2020-09、Forbes JAPAN 2020-11)
https://www.sbbit.jp/article/cont1/42331
https://forbesjapan.com/articles/detail/38115</t>
        </is>
      </c>
      <c r="E13" s="16" t="inlineStr">
        <is>
          <t>強い相関だが機能固有の寄与は切り分け不能</t>
        </is>
      </c>
    </row>
    <row r="14">
      <c r="A14" s="16" t="inlineStr">
        <is>
          <t>定期・会員・コミットメント</t>
        </is>
      </c>
      <c r="B14" s="16" t="inlineStr">
        <is>
          <t>트레바리(読書後記)、Timeleft(新フォーマット)、ストアカ月額、Doorkeeper 月額</t>
        </is>
      </c>
      <c r="C14" s="16" t="inlineStr">
        <is>
          <t>트레바리の再登録率70%超(2016)、Timeleft の月平均利用 1.4 → 2.2回</t>
        </is>
      </c>
      <c r="D14" s="16" t="inlineStr">
        <is>
          <t>創業者発言 (한경비즈니스 2020-02、Frin 2025-10)
https://magazine.hankyung.com/business/article/202002116265b
https://timfrin.substack.com/p/inside-timelefts-journey-to-connecting</t>
        </is>
      </c>
      <c r="E14" s="16" t="inlineStr">
        <is>
          <t>中(自己申告)</t>
        </is>
      </c>
    </row>
    <row r="15">
      <c r="A15" s="16" t="inlineStr">
        <is>
          <t>既存基盤内の無料開設+運営ツール</t>
        </is>
      </c>
      <c r="B15" s="16" t="inlineStr">
        <is>
          <t>당근 모임 2023-07</t>
        </is>
      </c>
      <c r="C15" s="16" t="inlineStr">
        <is>
          <t>4週で約400モイム、1年で利用者1,500万、初回参加者の58%が別日程にも参加</t>
        </is>
      </c>
      <c r="D15" s="16" t="inlineStr">
        <is>
          <t>自社発表 (Unicorn Factory 2024-07)
https://www.unicornfactory.co.kr/article/2024073109513425870</t>
        </is>
      </c>
      <c r="E15" s="16" t="inlineStr">
        <is>
          <t>中(巨大な既存基盤が前提)</t>
        </is>
      </c>
    </row>
    <row r="16">
      <c r="A16" s="16" t="inlineStr">
        <is>
          <t>無料イベントへの主催者課金(負の事例)</t>
        </is>
      </c>
      <c r="B16" s="16" t="inlineStr">
        <is>
          <t>Eventbrite 2023-06〜2024-09</t>
        </is>
      </c>
      <c r="C16" s="16" t="inlineStr">
        <is>
          <t>有料チケット 2024年 -10%、2025年 -6%</t>
        </is>
      </c>
      <c r="D16" s="16" t="inlineStr">
        <is>
          <t>10-K、経営陣の発言 (10-K FY2024)
https://www.sec.gov/Archives/edgar/data/1475115/000147511525000026/eb-20241231.htm</t>
        </is>
      </c>
      <c r="E16" s="16" t="inlineStr">
        <is>
          <t>強</t>
        </is>
      </c>
    </row>
    <row r="17">
      <c r="A17" s="16" t="inlineStr">
        <is>
          <t>主催者への課金</t>
        </is>
      </c>
      <c r="B17" s="16" t="inlineStr">
        <is>
          <t>Meetup(2005・2019・2024)、Doorkeeper(2016)</t>
        </is>
      </c>
      <c r="C17" s="16" t="inlineStr">
        <is>
          <t>Doorkeeper は初の黒字、Meetup は OWASP の離脱</t>
        </is>
      </c>
      <c r="D17" s="16" t="inlineStr">
        <is>
          <t>運営の報告・報道 (Doorkeeper 状況報告 2016-08、OWASP 2026-01)
https://www.doorkeeper.jp/news/2016/8/22/from-free-to-paid-status-update
https://owasp.github.io/blog/2026/01/13/retiring-meetup</t>
        </is>
      </c>
      <c r="E17" s="16" t="inlineStr">
        <is>
          <t>弱〜中</t>
        </is>
      </c>
    </row>
  </sheetData>
  <autoFilter ref="A1:E1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14.35" customWidth="1" min="1" max="1"/>
    <col width="34.3" customWidth="1" min="2" max="2"/>
    <col width="21" customWidth="1" min="3" max="3"/>
    <col width="40" customWidth="1" min="4" max="4"/>
  </cols>
  <sheetData>
    <row r="1">
      <c r="A1" s="10" t="inlineStr">
        <is>
          <t>サービス</t>
        </is>
      </c>
      <c r="B1" s="10" t="inlineStr">
        <is>
          <t>到達した規模</t>
        </is>
      </c>
      <c r="C1" s="10" t="inlineStr">
        <is>
          <t>期間</t>
        </is>
      </c>
      <c r="D1" s="10" t="inlineStr">
        <is>
          <t>その間の調達</t>
        </is>
      </c>
    </row>
    <row r="2">
      <c r="A2" s="16" t="inlineStr">
        <is>
          <t>Eventbrite</t>
        </is>
      </c>
      <c r="B2" s="16" t="inlineStr">
        <is>
          <t>GTS 年約 $200M(2010)</t>
        </is>
      </c>
      <c r="C2" s="16" t="inlineStr">
        <is>
          <t>約4年</t>
        </is>
      </c>
      <c r="D2" s="16" t="inlineStr">
        <is>
          <t>累計 $10M 未満(2010-03)(Mixergy 2010-03)
https://mixergy.com/?p=6825</t>
        </is>
      </c>
    </row>
    <row r="3">
      <c r="A3" s="16" t="inlineStr">
        <is>
          <t>Luma</t>
        </is>
      </c>
      <c r="B3" s="16" t="inlineStr">
        <is>
          <t>ホスト1万人超・延べ50万人超</t>
        </is>
      </c>
      <c r="C3" s="16" t="inlineStr">
        <is>
          <t>約8か月</t>
        </is>
      </c>
      <c r="D3" s="16" t="inlineStr">
        <is>
          <t>$3M</t>
        </is>
      </c>
    </row>
    <row r="4">
      <c r="A4" s="16" t="inlineStr">
        <is>
          <t>Meetup</t>
        </is>
      </c>
      <c r="B4" s="16" t="inlineStr">
        <is>
          <t>会員約1,000万(2011-09)</t>
        </is>
      </c>
      <c r="C4" s="16" t="inlineStr">
        <is>
          <t>約9年</t>
        </is>
      </c>
      <c r="D4" s="16" t="inlineStr">
        <is>
          <t>約$18.3M(2008年まで)</t>
        </is>
      </c>
    </row>
    <row r="5">
      <c r="A5" s="16" t="inlineStr">
        <is>
          <t>Peatix</t>
        </is>
      </c>
      <c r="B5" s="16" t="inlineStr">
        <is>
          <t>約5万イベント(2015-03)</t>
        </is>
      </c>
      <c r="C5" s="16" t="inlineStr">
        <is>
          <t>約4年</t>
        </is>
      </c>
      <c r="D5" s="16" t="inlineStr">
        <is>
          <t>約$9M</t>
        </is>
      </c>
    </row>
    <row r="6">
      <c r="A6" s="16" t="inlineStr">
        <is>
          <t>Zeffy</t>
        </is>
      </c>
      <c r="B6" s="16" t="inlineStr">
        <is>
          <t>累計取扱 $10億・NPO 5万超(2025-05)</t>
        </is>
      </c>
      <c r="C6" s="16" t="inlineStr">
        <is>
          <t>約8年</t>
        </is>
      </c>
      <c r="D6" s="16" t="inlineStr">
        <is>
          <t>約 CA$440万</t>
        </is>
      </c>
    </row>
    <row r="7">
      <c r="A7" s="16" t="inlineStr">
        <is>
          <t>Ticket Tailor</t>
        </is>
      </c>
      <c r="B7" s="16" t="inlineStr">
        <is>
          <t>累計2,500万枚(2024)</t>
        </is>
      </c>
      <c r="C7" s="16" t="inlineStr">
        <is>
          <t>約13年</t>
        </is>
      </c>
      <c r="D7" s="16" t="inlineStr">
        <is>
          <t>外部資金なし</t>
        </is>
      </c>
    </row>
    <row r="8">
      <c r="A8" s="16" t="inlineStr">
        <is>
          <t>문토</t>
        </is>
      </c>
      <c r="B8" s="16" t="inlineStr">
        <is>
          <t>累計会員52万人(2023-04)</t>
        </is>
      </c>
      <c r="C8" s="16" t="inlineStr">
        <is>
          <t>アプリ開始から25か月</t>
        </is>
      </c>
      <c r="D8" s="16" t="inlineStr">
        <is>
          <t>72億ウォン</t>
        </is>
      </c>
    </row>
    <row r="9">
      <c r="A9" s="16" t="inlineStr">
        <is>
          <t>Timeleft</t>
        </is>
      </c>
      <c r="B9" s="16" t="inlineStr">
        <is>
          <t>320都市超(2024)</t>
        </is>
      </c>
      <c r="C9" s="16" t="inlineStr">
        <is>
          <t>約1年</t>
        </is>
      </c>
      <c r="D9" s="16" t="inlineStr">
        <is>
          <t>$2M〜$7M(確定不可)</t>
        </is>
      </c>
    </row>
    <row r="10">
      <c r="A10" s="16" t="inlineStr">
        <is>
          <t>OpenTable</t>
        </is>
      </c>
      <c r="B10" s="16" t="inlineStr">
        <is>
          <t>IPO(2009-05)、設置店約11,000</t>
        </is>
      </c>
      <c r="C10" s="16" t="inlineStr">
        <is>
          <t>約11年</t>
        </is>
      </c>
      <c r="D10" s="16" t="inlineStr">
        <is>
          <t>優先株の帳簿 $21.9M(総額は確定不可)</t>
        </is>
      </c>
    </row>
  </sheetData>
  <autoFilter ref="A1:D1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6"/>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6" customWidth="1" min="2" max="2"/>
    <col width="8" customWidth="1" min="3" max="3"/>
    <col width="44" customWidth="1" min="4" max="4"/>
    <col width="44" customWidth="1" min="5" max="5"/>
    <col width="44" customWidth="1" min="6" max="6"/>
    <col width="14" customWidth="1" min="7" max="7"/>
  </cols>
  <sheetData>
    <row r="1">
      <c r="A1" s="10" t="inlineStr">
        <is>
          <t>区分</t>
        </is>
      </c>
      <c r="B1" s="10" t="inlineStr">
        <is>
          <t>サービス名</t>
        </is>
      </c>
      <c r="C1" s="10" t="inlineStr">
        <is>
          <t>国</t>
        </is>
      </c>
      <c r="D1" s="10" t="inlineStr">
        <is>
          <t>規模</t>
        </is>
      </c>
      <c r="E1" s="10" t="inlineStr">
        <is>
          <t>収益モデル・手数料</t>
        </is>
      </c>
      <c r="F1" s="10" t="inlineStr">
        <is>
          <t>特徴</t>
        </is>
      </c>
      <c r="G1" s="10" t="inlineStr">
        <is>
          <t>信頼度</t>
        </is>
      </c>
    </row>
    <row r="2">
      <c r="A2" s="16" t="inlineStr">
        <is>
          <t>グローバル発見・チケッティング・SNS</t>
        </is>
      </c>
      <c r="B2" s="16" t="inlineStr">
        <is>
          <t>Eventbrite</t>
        </is>
      </c>
      <c r="C2" s="16" t="inlineStr">
        <is>
          <t>米(2006創業)</t>
        </is>
      </c>
      <c r="D2" s="16" t="inlineStr">
        <is>
          <t>2025年: イベント約460万件、チケット2.58億枚(無料含む)、gross ticket sales $30億超、純収益$291.8M(約-10%)。月間ユーザー9,200万(CEO発言、2025 Q3)</t>
        </is>
      </c>
      <c r="E2" s="16" t="inlineStr">
        <is>
          <t>サービス料3.7%+$1.79/有料枚+決済2.9%/注文。購入者負担が既定、無料イベントは無料。Eventbrite Ads</t>
        </is>
      </c>
      <c r="F2" s="16" t="inlineStr">
        <is>
          <t>SEO都市ページ、アプリ、ML推薦、Ads、大型主催者向け営業</t>
        </is>
      </c>
      <c r="G2" s="16" t="inlineStr">
        <is>
          <t>一次: 10-K、[自社主張] (決算コール)
https://www.sec.gov/Archives/edgar/data/1475115/000147511526000005/eb-20251231.htm</t>
        </is>
      </c>
    </row>
    <row r="3">
      <c r="A3" s="16" t="inlineStr">
        <is>
          <t>グローバル発見・チケッティング・SNS</t>
        </is>
      </c>
      <c r="B3" s="16" t="inlineStr">
        <is>
          <t>Meetup</t>
        </is>
      </c>
      <c r="C3" s="16" t="inlineStr">
        <is>
          <t>米(2002)</t>
        </is>
      </c>
      <c r="D3" s="16" t="inlineStr">
        <is>
          <t>会員5,200万超・30万超グループ・193か国(公式メディアページ、日付不明)。2024-01報道は6,000万超</t>
        </is>
      </c>
      <c r="E3" s="16" t="inlineStr">
        <is>
          <t>主催者サブスク(Standard月$29.99〜、PRO月$55〜)。参加者は無料</t>
        </is>
      </c>
      <c r="F3" s="16" t="inlineStr">
        <is>
          <t>位置×興味の発見、RSVP、Meetup Pro</t>
        </is>
      </c>
      <c r="G3" s="16" t="inlineStr">
        <is>
          <t>公式ヘルプ、規模は[要確認]
https://help.meetup.com/hc/en-us/articles/28677808413197</t>
        </is>
      </c>
    </row>
    <row r="4">
      <c r="A4" s="16" t="inlineStr">
        <is>
          <t>グローバル発見・チケッティング・SNS</t>
        </is>
      </c>
      <c r="B4" s="16" t="inlineStr">
        <is>
          <t>Facebook Events / Instagram(Meta)</t>
        </is>
      </c>
      <c r="C4" s="16" t="inlineStr">
        <is>
          <t>米</t>
        </is>
      </c>
      <c r="D4" s="16" t="inlineStr">
        <is>
          <t>利用者数・イベント数・収益は確認できず</t>
        </is>
      </c>
      <c r="E4" s="16" t="inlineStr">
        <is>
          <t>Events は無料。収益化の公式資料は確認できず</t>
        </is>
      </c>
      <c r="F4" s="16" t="inlineStr">
        <is>
          <t>ソーシャルグラフ、Local タブ(米10都市でテスト、2024-10)、SMS/メール招待で非ユーザーもRSVP可</t>
        </is>
      </c>
      <c r="G4" s="17" t="inlineStr">
        <is>
          <t>一次: Meta</t>
        </is>
      </c>
    </row>
    <row r="5">
      <c r="A5" s="16" t="inlineStr">
        <is>
          <t>グローバル発見・チケッティング・SNS</t>
        </is>
      </c>
      <c r="B5" s="16" t="inlineStr">
        <is>
          <t>Fever</t>
        </is>
      </c>
      <c r="C5" s="16" t="inlineStr">
        <is>
          <t>スペイン発(設立年・本社は資料で不一致)</t>
        </is>
      </c>
      <c r="D5" s="16" t="inlineStr">
        <is>
          <t>55か国超、月間3億ユーザー相互作用・3億人リーチ(国数も30+〜55と資料で不一致)</t>
        </is>
      </c>
      <c r="E5" s="16" t="inlineStr">
        <is>
          <t>パートナーから手数料(現行率は非公開。2018年報道は通常のチケット手数料の3〜5倍)</t>
        </is>
      </c>
      <c r="F5" s="16" t="inlineStr">
        <is>
          <t>発見アプリ+自社制作 Fever Originals(Candlelight Concerts)+都市別メディア網</t>
        </is>
      </c>
      <c r="G5" s="16" t="inlineStr">
        <is>
          <t>[自社主張]、[要確認]、TechCrunch 2018
https://techcrunch.com/2018/07/05/fever-gets-20m-to-delight-more-hipsters-with-a-b-tested-madhatters-gt-parties</t>
        </is>
      </c>
    </row>
    <row r="6">
      <c r="A6" s="16" t="inlineStr">
        <is>
          <t>グローバル発見・チケッティング・SNS</t>
        </is>
      </c>
      <c r="B6" s="16" t="inlineStr">
        <is>
          <t>DICE</t>
        </is>
      </c>
      <c r="C6" s="16" t="inlineStr">
        <is>
          <t>英(2014)</t>
        </is>
      </c>
      <c r="D6" s="16" t="inlineStr">
        <is>
          <t>月間アクティブファン1,000万超(2025-06)</t>
        </is>
      </c>
      <c r="E6" s="16" t="inlineStr">
        <is>
          <t>総額表示(all-in)。主催者手数料は競合が「10〜15%」「8.5%+2.5%」と記し不一致</t>
        </is>
      </c>
      <c r="F6" s="16" t="inlineStr">
        <is>
          <t>音楽特化、アプリ内QRのみ、ウェイトリスト、二次流通非対応</t>
        </is>
      </c>
      <c r="G6" s="16" t="inlineStr">
        <is>
          <t>自社主張、手数料は[競合発信]
https://newsroom.feverup.com/en-US/250537-fever-and-dice-join-forces-to-build-a-live-entertainment-tech-powerhouse/</t>
        </is>
      </c>
    </row>
    <row r="7">
      <c r="A7" s="16" t="inlineStr">
        <is>
          <t>グローバル発見・チケッティング・SNS</t>
        </is>
      </c>
      <c r="B7" s="16" t="inlineStr">
        <is>
          <t>AllEvents</t>
        </is>
      </c>
      <c r="C7" s="16" t="inlineStr">
        <is>
          <t>インド(2011)</t>
        </is>
      </c>
      <c r="D7" s="16" t="inlineStr">
        <is>
          <t>月間2,000万人・主催者30万・4万都市超(2017年は月400万ユーザー等、表記が不一致)</t>
        </is>
      </c>
      <c r="E7" s="16" t="inlineStr">
        <is>
          <t>購入者$1/枚(別ページは0.5%または$1)、月額Free〜$200、販促商品</t>
        </is>
      </c>
      <c r="F7" s="16" t="inlineStr">
        <is>
          <t>Web上のイベントを集約、自前の広告・ニュースレター。東京ページあり</t>
        </is>
      </c>
      <c r="G7" s="16" t="inlineStr">
        <is>
          <t>自社主張、[要確認]
https://allevents.in/about</t>
        </is>
      </c>
    </row>
    <row r="8">
      <c r="A8" s="16" t="inlineStr">
        <is>
          <t>グローバル発見・チケッティング・SNS</t>
        </is>
      </c>
      <c r="B8" s="16" t="inlineStr">
        <is>
          <t>Universe / Ticketmaster</t>
        </is>
      </c>
      <c r="C8" s="16" t="inlineStr">
        <is>
          <t>米</t>
        </is>
      </c>
      <c r="D8" s="16" t="inlineStr">
        <is>
          <t>規模は確認できず(Ticketmaster はアフィリエイト網で3.3億のファン訪問と自称)</t>
        </is>
      </c>
      <c r="E8" s="16" t="inlineStr">
        <is>
          <t>Universe: 2%+$0.59/枚、無料イベントは無料</t>
        </is>
      </c>
      <c r="F8" s="16" t="inlineStr">
        <is>
          <t>Universe Discover、上位プランでTicketmaster網へ接続</t>
        </is>
      </c>
      <c r="G8" s="17" t="inlineStr">
        <is>
          <t>公式料金</t>
        </is>
      </c>
    </row>
    <row r="9">
      <c r="A9" s="16" t="inlineStr">
        <is>
          <t>ソーシャル招待・低手数料チケッティング</t>
        </is>
      </c>
      <c r="B9" s="16" t="inlineStr">
        <is>
          <t>Luma</t>
        </is>
      </c>
      <c r="C9" s="16" t="inlineStr">
        <is>
          <t>米(Victor Pontis、Danqing Liu。動画生成の Luma AI とは別会社)</t>
        </is>
      </c>
      <c r="D9" s="16" t="inlineStr">
        <is>
          <t>「数百万」ユーザー、フルタイム6名(2025-01、創業者)</t>
        </is>
      </c>
      <c r="E9" s="16" t="inlineStr">
        <is>
          <t>Free: 有料イベント5%(+Stripe)。Plus 月$59(年払い)で0%</t>
        </is>
      </c>
      <c r="F9" s="16" t="inlineStr">
        <is>
          <t>アカウント不要の登録、Calendars、Event Referrals、Tech Weeks。営業・提携をせず口コミで拡大</t>
        </is>
      </c>
      <c r="G9" s="16" t="inlineStr">
        <is>
          <t>一次、公式料金
https://pont.is/p/how-luma-works
https://luma.com/pricing</t>
        </is>
      </c>
    </row>
    <row r="10">
      <c r="A10" s="16" t="inlineStr">
        <is>
          <t>ソーシャル招待・低手数料チケッティング</t>
        </is>
      </c>
      <c r="B10" s="16" t="inlineStr">
        <is>
          <t>Partiful</t>
        </is>
      </c>
      <c r="C10" s="16" t="inlineStr">
        <is>
          <t>米(2020)</t>
        </is>
      </c>
      <c r="D10" s="16" t="inlineStr">
        <is>
          <t>MAU約50万(Sensor Tower推計、2025 Q1)、会社発表で2025年に新規200万人</t>
        </is>
      </c>
      <c r="E10" s="16" t="inlineStr">
        <is>
          <t>コア機能は無料。2026-06-02 からチケット手数料(率は非公開)</t>
        </is>
      </c>
      <c r="F10" s="16" t="inlineStr">
        <is>
          <t>リンクRSVP(アプリ不要、電話認証)、デザイン重視、SMS</t>
        </is>
      </c>
      <c r="G10" s="16" t="inlineStr">
        <is>
          <t>報道、MAUは推計
https://www.nbcnewyork.com/news/business/money-report/meet-partiful-the-gen-z-party-planning-staple-thats-taking-on-apple/6231135/</t>
        </is>
      </c>
    </row>
    <row r="11">
      <c r="A11" s="16" t="inlineStr">
        <is>
          <t>ソーシャル招待・低手数料チケッティング</t>
        </is>
      </c>
      <c r="B11" s="16" t="inlineStr">
        <is>
          <t>Posh</t>
        </is>
      </c>
      <c r="C11" s="16" t="inlineStr">
        <is>
          <t>米(2019)</t>
        </is>
      </c>
      <c r="D11" s="16" t="inlineStr">
        <is>
          <t>約800万ユーザー・約5万主催者・GMV$3.5億(CEO、2026-03)。2025-12報道は約600万</t>
        </is>
      </c>
      <c r="E11" s="16" t="inlineStr">
        <is>
          <t>約10%+$0.99/枚</t>
        </is>
      </c>
      <c r="F11" s="16" t="inlineStr">
        <is>
          <t>プロモーター向け、Kickback、SMS CRM、需要側フィードへ拡張</t>
        </is>
      </c>
      <c r="G11" s="17" t="inlineStr">
        <is>
          <t>報道</t>
        </is>
      </c>
    </row>
    <row r="12">
      <c r="A12" s="16" t="inlineStr">
        <is>
          <t>ソーシャル招待・低手数料チケッティング</t>
        </is>
      </c>
      <c r="B12" s="16" t="inlineStr">
        <is>
          <t>Evite / Paperless Post</t>
        </is>
      </c>
      <c r="C12" s="16" t="inlineStr">
        <is>
          <t>米</t>
        </is>
      </c>
      <c r="D12" s="16" t="inlineStr">
        <is>
          <t>Evite MAU 2,000万超(同社広報、2025 Q1)/ Paperless Post 累計2億ユーザー(自己申告)</t>
        </is>
      </c>
      <c r="E12" s="16" t="inlineStr">
        <is>
          <t>Evite: 無料(広告)・イベント単位Premium・年額Pro。Paperless Post: Coins従量・年額</t>
        </is>
      </c>
      <c r="F12" s="16" t="inlineStr">
        <is>
          <t>デザイン招待、B2Bへ拡張</t>
        </is>
      </c>
      <c r="G12" s="17" t="inlineStr">
        <is>
          <t>自社主張</t>
        </is>
      </c>
    </row>
    <row r="13">
      <c r="A13" s="16" t="inlineStr">
        <is>
          <t>ソーシャル招待・低手数料チケッティング</t>
        </is>
      </c>
      <c r="B13" s="16" t="inlineStr">
        <is>
          <t>Zeffy</t>
        </is>
      </c>
      <c r="C13" s="16" t="inlineStr">
        <is>
          <t>カナダ</t>
        </is>
      </c>
      <c r="D13" s="16" t="inlineStr">
        <is>
          <t>5万超のNPO(2025-11。別資料は10万超で不一致)</t>
        </is>
      </c>
      <c r="E13" s="16" t="inlineStr">
        <is>
          <t>NPOは手数料0、寄付者の任意チップが収益</t>
        </is>
      </c>
      <c r="F13" s="16" t="inlineStr">
        <is>
          <t>チケット・寄付・会員を一体化</t>
        </is>
      </c>
      <c r="G13" s="16" t="inlineStr">
        <is>
          <t>報道、[要確認]
https://pulse2.com/zeffy-profile-francois-de-kerret-interview/</t>
        </is>
      </c>
    </row>
    <row r="14">
      <c r="A14" s="16" t="inlineStr">
        <is>
          <t>ソーシャル招待・低手数料チケッティング</t>
        </is>
      </c>
      <c r="B14" s="16" t="inlineStr">
        <is>
          <t>Ticket Tailor</t>
        </is>
      </c>
      <c r="C14" s="16" t="inlineStr">
        <is>
          <t>英</t>
        </is>
      </c>
      <c r="D14" s="16" t="inlineStr">
        <is>
          <t>累計2,500万枚・7.3万超のEvent Creators(自社、2024)</t>
        </is>
      </c>
      <c r="E14" s="16" t="inlineStr">
        <is>
          <t>£0.60/枚(従量)〜£0.22/枚(前払い)、サブスクなし</t>
        </is>
      </c>
      <c r="F14" s="16" t="inlineStr">
        <is>
          <t>主催者専用、発見面は確認できず</t>
        </is>
      </c>
      <c r="G14" s="17" t="inlineStr">
        <is>
          <t>一次</t>
        </is>
      </c>
    </row>
    <row r="15">
      <c r="A15" s="16" t="inlineStr">
        <is>
          <t>ソーシャル招待・低手数料チケッティング</t>
        </is>
      </c>
      <c r="B15" s="16" t="inlineStr">
        <is>
          <t>Humanitix</t>
        </is>
      </c>
      <c r="C15" s="16" t="inlineStr">
        <is>
          <t>豪(2016)</t>
        </is>
      </c>
      <c r="D15" s="16" t="inlineStr">
        <is>
          <t>寄付累計は資料間で不一致($6.7M超〜$20.8M)</t>
        </is>
      </c>
      <c r="E15" s="16" t="inlineStr">
        <is>
          <t>4%+$0.99(公式、地域・通貨の明記なし)</t>
        </is>
      </c>
      <c r="F15" s="16" t="inlineStr">
        <is>
          <t>手数料利益の100%を慈善へ</t>
        </is>
      </c>
      <c r="G15" s="16" t="inlineStr">
        <is>
          <t>一次、[要確認]
https://www.humanitix.com/pricing</t>
        </is>
      </c>
    </row>
    <row r="16">
      <c r="A16" s="16" t="inlineStr">
        <is>
          <t>ソーシャル招待・低手数料チケッティング</t>
        </is>
      </c>
      <c r="B16" s="16" t="inlineStr">
        <is>
          <t>Hi.Events / pretix</t>
        </is>
      </c>
      <c r="C16" s="16" t="inlineStr">
        <is>
          <t>pretix は独</t>
        </is>
      </c>
      <c r="D16" s="16" t="inlineStr">
        <is>
          <t>pretix 3,000組織超</t>
        </is>
      </c>
      <c r="E16" s="16" t="inlineStr">
        <is>
          <t>Hi.Events 0.75%+$0.40/枚、pretix 2.5%(上限€15)</t>
        </is>
      </c>
      <c r="F16" s="16" t="inlineStr">
        <is>
          <t>OSS・セルフホスト</t>
        </is>
      </c>
      <c r="G16" s="17" t="inlineStr">
        <is>
          <t>要約</t>
        </is>
      </c>
    </row>
    <row r="17">
      <c r="A17" s="16" t="inlineStr">
        <is>
          <t>日本</t>
        </is>
      </c>
      <c r="B17" s="16" t="inlineStr">
        <is>
          <t>Peatix</t>
        </is>
      </c>
      <c r="C17" s="16" t="inlineStr">
        <is>
          <t>日本で展開(運営 Peatix Inc.、2011〜、22か国)</t>
        </is>
      </c>
      <c r="D17" s="16" t="inlineStr">
        <is>
          <t>年間参加者560万人超、掲載常時2.5万件超、新規主催者月1,000超(自社)。東南アジア向け記載は年間約520万人</t>
        </is>
      </c>
      <c r="E17" s="16" t="inlineStr">
        <is>
          <t>4.9%+99円/枚(無料は0)。有料おすすめメール/掲載7万円〜、成果報酬15万円〜</t>
        </is>
      </c>
      <c r="F17" s="16" t="inlineStr">
        <is>
          <t>無料掲載+法人向け集客(1,300社超)、フォロー、請求書払い・銀行振込</t>
        </is>
      </c>
      <c r="G17" s="16" t="inlineStr">
        <is>
          <t>自社主張、規模は[要確認]
https://prtimes.jp/main/html/rd/p/000000078.000058728.html</t>
        </is>
      </c>
    </row>
    <row r="18">
      <c r="A18" s="16" t="inlineStr">
        <is>
          <t>日本</t>
        </is>
      </c>
      <c r="B18" s="16" t="inlineStr">
        <is>
          <t>Doorkeeper</t>
        </is>
      </c>
      <c r="C18" s="16" t="inlineStr">
        <is>
          <t>日本</t>
        </is>
      </c>
      <c r="D18" s="16" t="inlineStr">
        <is>
          <t>公式に規模の掲載なし</t>
        </is>
      </c>
      <c r="E18" s="16" t="inlineStr">
        <is>
          <t>月額1,650〜17,600円(税込)+前払い99円+2.5%</t>
        </is>
      </c>
      <c r="F18" s="16" t="inlineStr">
        <is>
          <t>申込=コミュニティ加入、メールのみで申込、IT勉強会中心</t>
        </is>
      </c>
      <c r="G18" s="17" t="inlineStr">
        <is>
          <t>公式</t>
        </is>
      </c>
    </row>
    <row r="19">
      <c r="A19" s="16" t="inlineStr">
        <is>
          <t>日本</t>
        </is>
      </c>
      <c r="B19" s="16" t="inlineStr">
        <is>
          <t>connpass</t>
        </is>
      </c>
      <c r="C19" s="16" t="inlineStr">
        <is>
          <t>日本(ビープラウド)</t>
        </is>
      </c>
      <c r="D19" s="16" t="inlineStr">
        <is>
          <t>約90万人・月1,500件超(自称、時点不明)</t>
        </is>
      </c>
      <c r="E19" s="16" t="inlineStr">
        <is>
          <t>基本無料。2026-11から有料プラン(料金未発表)</t>
        </is>
      </c>
      <c r="F19" s="16" t="inlineStr">
        <is>
          <t>IT勉強会の事実上の標準、グループ通知</t>
        </is>
      </c>
      <c r="G19" s="16" t="inlineStr">
        <is>
          <t>公式、[自社主張]
https://connpass.com/about/</t>
        </is>
      </c>
    </row>
    <row r="20">
      <c r="A20" s="16" t="inlineStr">
        <is>
          <t>日本</t>
        </is>
      </c>
      <c r="B20" s="16" t="inlineStr">
        <is>
          <t>TECH PLAY</t>
        </is>
      </c>
      <c r="C20" s="16" t="inlineStr">
        <is>
          <t>日本(2026-04から TECH PLAY-X)</t>
        </is>
      </c>
      <c r="D20" s="16" t="inlineStr">
        <is>
          <t>会員約32万人(2026-08)</t>
        </is>
      </c>
      <c r="E20" s="16" t="inlineStr">
        <is>
          <t>イベント運営は無料、企業ブランディング・広告で収益</t>
        </is>
      </c>
      <c r="F20" s="16" t="inlineStr">
        <is>
          <t>2026-08-04 に API を無料公開</t>
        </is>
      </c>
      <c r="G20" s="17" t="inlineStr">
        <is>
          <t>一次PR</t>
        </is>
      </c>
    </row>
    <row r="21">
      <c r="A21" s="16" t="inlineStr">
        <is>
          <t>日本</t>
        </is>
      </c>
      <c r="B21" s="16" t="inlineStr">
        <is>
          <t>こくちーずプロ</t>
        </is>
      </c>
      <c r="C21" s="16" t="inlineStr">
        <is>
          <t>日本</t>
        </is>
      </c>
      <c r="D21" s="16" t="inlineStr">
        <is>
          <t>トップ表示は「105万人以上」、お知らせ上は2025-11に94万人</t>
        </is>
      </c>
      <c r="E21" s="16" t="inlineStr">
        <is>
          <t>4.8%+99円(PayPalは6.0%+100円)、プレミアム月1,000円、広告</t>
        </is>
      </c>
      <c r="F21" s="16" t="inlineStr">
        <is>
          <t>小〜中規模の告知+申込。「食事会」検索11,413件(ノイズ多)</t>
        </is>
      </c>
      <c r="G21" s="16" t="inlineStr">
        <is>
          <t>公式、規模は[要確認]
https://www.kokuchpro.com/pages/prices/</t>
        </is>
      </c>
    </row>
    <row r="22">
      <c r="A22" s="16" t="inlineStr">
        <is>
          <t>日本</t>
        </is>
      </c>
      <c r="B22" s="16" t="inlineStr">
        <is>
          <t>ストアカ</t>
        </is>
      </c>
      <c r="C22" s="16" t="inlineStr">
        <is>
          <t>日本(2012)</t>
        </is>
      </c>
      <c r="D22" s="16" t="inlineStr">
        <is>
          <t>累計受講者210万人、講師約5万人(2024-10)</t>
        </is>
      </c>
      <c r="E22" s="16" t="inlineStr">
        <is>
          <t>初回: 自己集客10%/ストアカ経由30%(対面20%)、再受講10%</t>
        </is>
      </c>
      <c r="F22" s="16" t="inlineStr">
        <is>
          <t>習いごとのマーケット、外部誘導を規約で禁止</t>
        </is>
      </c>
      <c r="G22" s="17" t="inlineStr">
        <is>
          <t>公式</t>
        </is>
      </c>
    </row>
    <row r="23">
      <c r="A23" s="16" t="inlineStr">
        <is>
          <t>日本</t>
        </is>
      </c>
      <c r="B23" s="16" t="inlineStr">
        <is>
          <t>EventRegist</t>
        </is>
      </c>
      <c r="C23" s="16" t="inlineStr">
        <is>
          <t>日本(2011)</t>
        </is>
      </c>
      <c r="D23" s="16" t="inlineStr">
        <is>
          <t>非公開</t>
        </is>
      </c>
      <c r="E23" s="16" t="inlineStr">
        <is>
          <t>8%(Basic+は10万円+税)</t>
        </is>
      </c>
      <c r="F23" s="16" t="inlineStr">
        <is>
          <t>企業・大学・自治体の大型イベント向け</t>
        </is>
      </c>
      <c r="G23" s="17" t="inlineStr">
        <is>
          <t>公式</t>
        </is>
      </c>
    </row>
    <row r="24">
      <c r="A24" s="16" t="inlineStr">
        <is>
          <t>日本</t>
        </is>
      </c>
      <c r="B24" s="16" t="inlineStr">
        <is>
          <t>TIGET / teket / ZAIKO</t>
        </is>
      </c>
      <c r="C24" s="16" t="inlineStr">
        <is>
          <t>日本</t>
        </is>
      </c>
      <c r="D24" s="16" t="inlineStr">
        <is>
          <t>TIGET 主催者2万組超・50万件超(2026-07)、teket 累計220万人超(2025-02)</t>
        </is>
      </c>
      <c r="E24" s="16" t="inlineStr">
        <is>
          <t>teket 自由席・配信8%/指定席10%(2023)。TIGET・ZAIKO の率は不明</t>
        </is>
      </c>
      <c r="F24" s="16" t="inlineStr">
        <is>
          <t>ライブ・配信・小規模公演向け電子チケット</t>
        </is>
      </c>
      <c r="G24" s="16" t="inlineStr">
        <is>
          <t>自社主張、率は未確認
https://tiget.net/</t>
        </is>
      </c>
    </row>
    <row r="25">
      <c r="A25" s="16" t="inlineStr">
        <is>
          <t>日本</t>
        </is>
      </c>
      <c r="B25" s="16" t="inlineStr">
        <is>
          <t>LIVEPOCKET / 楽天チケット mini / イープラス</t>
        </is>
      </c>
      <c r="C25" s="16" t="inlineStr">
        <is>
          <t>日本</t>
        </is>
      </c>
      <c r="D25" s="16" t="inlineStr">
        <is>
          <t>LIVEPOCKET 会員1,200万超・年間800万枚超(2026-03)、イープラス 会員2,600万超(別資料は2,200万で不一致)</t>
        </is>
      </c>
      <c r="E25" s="16" t="inlineStr">
        <is>
          <t>LIVEPOCKET 主催者5%+購入者165円/枚、楽天 mini 4.9%、イープラス 登録料5,000/10,000円+8〜10%</t>
        </is>
      </c>
      <c r="F25" s="16" t="inlineStr">
        <is>
          <t>KDDI・楽天・既存プレイガイド。大手が小規模向けへ</t>
        </is>
      </c>
      <c r="G25" s="16" t="inlineStr">
        <is>
          <t>KDDI PR、[要確認]
https://prtimes.jp/main/html/rd/p/000001292.000034485.html</t>
        </is>
      </c>
    </row>
    <row r="26">
      <c r="A26" s="16" t="inlineStr">
        <is>
          <t>日本</t>
        </is>
      </c>
      <c r="B26" s="16" t="inlineStr">
        <is>
          <t>Passmarket</t>
        </is>
      </c>
      <c r="C26" s="16" t="inlineStr">
        <is>
          <t>日本</t>
        </is>
      </c>
      <c r="D26" s="16" t="inlineStr">
        <is>
          <t>—</t>
        </is>
      </c>
      <c r="E26" s="16" t="inlineStr">
        <is>
          <t>3.24%(2014時点)</t>
        </is>
      </c>
      <c r="F26" s="16" t="inlineStr">
        <is>
          <t>終了したとみられる</t>
        </is>
      </c>
      <c r="G26" s="17" t="inlineStr">
        <is>
          <t>要確認</t>
        </is>
      </c>
    </row>
    <row r="27">
      <c r="A27" s="16" t="inlineStr">
        <is>
          <t>日本</t>
        </is>
      </c>
      <c r="B27" s="16" t="inlineStr">
        <is>
          <t>オミカレ / IBJ Matching / 街コンジャパン</t>
        </is>
      </c>
      <c r="C27" s="16" t="inlineStr">
        <is>
          <t>日本</t>
        </is>
      </c>
      <c r="D27" s="16" t="inlineStr">
        <is>
          <t>オミカレ 会員100万人超(自社)</t>
        </is>
      </c>
      <c r="E27" s="16" t="inlineStr">
        <is>
          <t>自治体共催の参加費は1,000円など</t>
        </is>
      </c>
      <c r="F27" s="16" t="inlineStr">
        <is>
          <t>婚活・街コン、自治体との共催</t>
        </is>
      </c>
      <c r="G27" s="17" t="inlineStr">
        <is>
          <t>自社主張</t>
        </is>
      </c>
    </row>
    <row r="28">
      <c r="A28" s="16" t="inlineStr">
        <is>
          <t>アジア(日本除く)</t>
        </is>
      </c>
      <c r="B28" s="16" t="inlineStr">
        <is>
          <t>당근(Karrot)모임</t>
        </is>
      </c>
      <c r="C28" s="16" t="inlineStr">
        <is>
          <t>韓国</t>
        </is>
      </c>
      <c r="D28" s="16" t="inlineStr">
        <is>
          <t>MAU 2,100万超(2025)、モイムMAU 1,000万超(2026上半期)</t>
        </is>
      </c>
      <c r="E28" s="16" t="inlineStr">
        <is>
          <t>広告中心。モイム自体への課金は確認できず</t>
        </is>
      </c>
      <c r="F28" s="16" t="inlineStr">
        <is>
          <t>近隣SNS内の無料モイム(2023-07開始)</t>
        </is>
      </c>
      <c r="G28" s="17" t="inlineStr">
        <is>
          <t>自社発表</t>
        </is>
      </c>
    </row>
    <row r="29">
      <c r="A29" s="16" t="inlineStr">
        <is>
          <t>アジア(日本除く)</t>
        </is>
      </c>
      <c r="B29" s="16" t="inlineStr">
        <is>
          <t>트레바리(Trevari)</t>
        </is>
      </c>
      <c r="C29" s="16" t="inlineStr">
        <is>
          <t>韓国</t>
        </is>
      </c>
      <c r="D29" s="16" t="inlineStr">
        <is>
          <t>累計会員106,973人(2025-01報道)、2025年売上52億ウォン・営業赤字</t>
        </is>
      </c>
      <c r="E29" s="16" t="inlineStr">
        <is>
          <t>会員費(4か月制)</t>
        </is>
      </c>
      <c r="F29" s="16" t="inlineStr">
        <is>
          <t>有料読書会、収益分配のパートナー制度</t>
        </is>
      </c>
      <c r="G29" s="16" t="inlineStr">
        <is>
          <t>報道、2025年値は二次
https://v.daum.net/v/20250109070512262
https://www.threads.com/@outstanding_crew/post/DXssSYCgWrE/</t>
        </is>
      </c>
    </row>
    <row r="30">
      <c r="A30" s="16" t="inlineStr">
        <is>
          <t>アジア(日本除く)</t>
        </is>
      </c>
      <c r="B30" s="16" t="inlineStr">
        <is>
          <t>문토(Munto)/ 프립(Frip)</t>
        </is>
      </c>
      <c r="C30" s="16" t="inlineStr">
        <is>
          <t>韓国</t>
        </is>
      </c>
      <c r="D30" s="16" t="inlineStr">
        <is>
          <t>문토 累計会員52万(2023)、프립 販売中ホスト約2.8万(2025報道)</t>
        </is>
      </c>
      <c r="E30" s="16" t="inlineStr">
        <is>
          <t>문토 20%(要原文確認)、프립 9.9%(2022-03〜、2026現在は未確認)</t>
        </is>
      </c>
      <c r="F30" s="16" t="inlineStr">
        <is>
          <t>趣味クラス・体験のマーケット</t>
        </is>
      </c>
      <c r="G30" s="17" t="inlineStr">
        <is>
          <t>要確認</t>
        </is>
      </c>
    </row>
    <row r="31">
      <c r="A31" s="16" t="inlineStr">
        <is>
          <t>アジア(日本除く)</t>
        </is>
      </c>
      <c r="B31" s="16" t="inlineStr">
        <is>
          <t>活动行(Huodongxing)</t>
        </is>
      </c>
      <c r="C31" s="16" t="inlineStr">
        <is>
          <t>中国</t>
        </is>
      </c>
      <c r="D31" s="16" t="inlineStr">
        <is>
          <t>MAU 650万+・主催者50万+(自社主張。表記ゆれあり)</t>
        </is>
      </c>
      <c r="E31" s="16" t="inlineStr">
        <is>
          <t>0%+1元(別ページは2.5%+1元で矛盾)、年額¥300〜</t>
        </is>
      </c>
      <c r="F31" s="16" t="inlineStr">
        <is>
          <t>WeChat内での申込、チェックイン機器</t>
        </is>
      </c>
      <c r="G31" s="16" t="inlineStr">
        <is>
          <t>自社主張、[要確認]
https://www.huodongxing.com/management</t>
        </is>
      </c>
    </row>
    <row r="32">
      <c r="A32" s="16" t="inlineStr">
        <is>
          <t>アジア(日本除く)</t>
        </is>
      </c>
      <c r="B32" s="16" t="inlineStr">
        <is>
          <t>大麦(Damai)</t>
        </is>
      </c>
      <c r="C32" s="16" t="inlineStr">
        <is>
          <t>中国</t>
        </is>
      </c>
      <c r="D32" s="16" t="inlineStr">
        <is>
          <t>ユーザー3億(自己申告)</t>
        </is>
      </c>
      <c r="E32" s="16" t="inlineStr">
        <is>
          <t>非公開</t>
        </is>
      </c>
      <c r="F32" s="16" t="inlineStr">
        <is>
          <t>大型公演チケット+IP事業</t>
        </is>
      </c>
      <c r="G32" s="17" t="inlineStr">
        <is>
          <t>報道</t>
        </is>
      </c>
    </row>
    <row r="33">
      <c r="A33" s="16" t="inlineStr">
        <is>
          <t>アジア(日本除く)</t>
        </is>
      </c>
      <c r="B33" s="16" t="inlineStr">
        <is>
          <t>盲盒饭局(整点薯条/薯岛)</t>
        </is>
      </c>
      <c r="C33" s="16" t="inlineStr">
        <is>
          <t>中国</t>
        </is>
      </c>
      <c r="D33" s="16" t="inlineStr">
        <is>
          <t>1.2万人超(2025-12まで)と3万人超(2026-03の別報道)で不一致</t>
        </is>
      </c>
      <c r="E33" s="16" t="inlineStr">
        <is>
          <t>入場券59元/回+食事別。店から手数料を取らないと説明</t>
        </is>
      </c>
      <c r="F33" s="16" t="inlineStr">
        <is>
          <t>ブラインドディナー、27問アンケートでマッチ</t>
        </is>
      </c>
      <c r="G33" s="16" t="inlineStr">
        <is>
          <t>報道、[要確認]
https://m.thepaper.cn/newsDetail_forward_33717234</t>
        </is>
      </c>
    </row>
    <row r="34">
      <c r="A34" s="16" t="inlineStr">
        <is>
          <t>アジア(日本除く)</t>
        </is>
      </c>
      <c r="B34" s="16" t="inlineStr">
        <is>
          <t>KKTIX / Accupass</t>
        </is>
      </c>
      <c r="C34" s="16" t="inlineStr">
        <is>
          <t>台湾</t>
        </is>
      </c>
      <c r="D34" s="16" t="inlineStr">
        <is>
          <t>Accupass 会員320万と450万(自己申告で不一致)</t>
        </is>
      </c>
      <c r="E34" s="16" t="inlineStr">
        <is>
          <t>Accupass 5%+10元(金流代収)</t>
        </is>
      </c>
      <c r="F34" s="16" t="inlineStr">
        <is>
          <t>有料イベントは主催者の本人確認審査</t>
        </is>
      </c>
      <c r="G34" s="17" t="inlineStr">
        <is>
          <t>要確認</t>
        </is>
      </c>
    </row>
    <row r="35">
      <c r="A35" s="16" t="inlineStr">
        <is>
          <t>アジア(日本除く)</t>
        </is>
      </c>
      <c r="B35" s="16" t="inlineStr">
        <is>
          <t>BookMyShow / District(Eternal)</t>
        </is>
      </c>
      <c r="C35" s="16" t="inlineStr">
        <is>
          <t>インド</t>
        </is>
      </c>
      <c r="D35" s="16" t="inlineStr">
        <is>
          <t>BMS FY25 総収入₹1,869 Cr・純利益₹192 Cr。District は赤字</t>
        </is>
      </c>
      <c r="E35" s="16" t="inlineStr">
        <is>
          <t>—</t>
        </is>
      </c>
      <c r="F35" s="16" t="inlineStr">
        <is>
          <t>興行の垂直統合/外食予約+映画+イベントの会員パス</t>
        </is>
      </c>
      <c r="G35" s="17" t="inlineStr">
        <is>
          <t>報道</t>
        </is>
      </c>
    </row>
    <row r="36">
      <c r="A36" s="16" t="inlineStr">
        <is>
          <t>アジア(日本除く)</t>
        </is>
      </c>
      <c r="B36" s="16" t="inlineStr">
        <is>
          <t>地場チケッティング(Eventpop・Loket・Ticketbox・SISTIC)</t>
        </is>
      </c>
      <c r="C36" s="16" t="inlineStr">
        <is>
          <t>タイ・インドネシア・ベトナム・シンガポール</t>
        </is>
      </c>
      <c r="D36" s="16" t="inlineStr">
        <is>
          <t>確認できず</t>
        </is>
      </c>
      <c r="E36" s="16" t="inlineStr">
        <is>
          <t>確認できず</t>
        </is>
      </c>
      <c r="F36" s="16" t="inlineStr">
        <is>
          <t>配車・EC・海外資本による買収・再編が相次ぐ(所有関係は資料間で不一致)</t>
        </is>
      </c>
      <c r="G36" s="16" t="inlineStr">
        <is>
          <t>報道、[要確認]
https://www.malaymail.com/amp/news/singapore/2025/10/08/axs-acquires-majority-stake-in-sistic-to-expand-live-entertainment-in-singapore/193911</t>
        </is>
      </c>
    </row>
    <row r="37">
      <c r="A37" s="16" t="inlineStr">
        <is>
          <t>欧州・オセアニア・中南米・中東アフリカ</t>
        </is>
      </c>
      <c r="B37" s="16" t="inlineStr">
        <is>
          <t>Resident Advisor(RA)</t>
        </is>
      </c>
      <c r="C37" s="16" t="inlineStr">
        <is>
          <t>英</t>
        </is>
      </c>
      <c r="D37" s="16" t="inlineStr">
        <is>
          <t>年間5,700万ユニークユーザー・197か国(自社)</t>
        </is>
      </c>
      <c r="E37" s="16" t="inlineStr">
        <is>
          <t>購入者負担の "small per-ticket fee"(率は非公開)</t>
        </is>
      </c>
      <c r="F37" s="16" t="inlineStr">
        <is>
          <t>電子音楽特化、編集コンテンツ</t>
        </is>
      </c>
      <c r="G37" s="17" t="inlineStr">
        <is>
          <t>自社主張</t>
        </is>
      </c>
    </row>
    <row r="38">
      <c r="A38" s="16" t="inlineStr">
        <is>
          <t>欧州・オセアニア・中南米・中東アフリカ</t>
        </is>
      </c>
      <c r="B38" s="16" t="inlineStr">
        <is>
          <t>Skiddle</t>
        </is>
      </c>
      <c r="C38" s="16" t="inlineStr">
        <is>
          <t>英(2001)</t>
        </is>
      </c>
      <c r="D38" s="16" t="inlineStr">
        <is>
          <t>チケット987万枚・アプリ360万(2025、自己申告)</t>
        </is>
      </c>
      <c r="E38" s="16" t="inlineStr">
        <is>
          <t>10%+27p(最低£1)、購入者負担が既定</t>
        </is>
      </c>
      <c r="F38" s="16" t="inlineStr">
        <is>
          <t>What's On Guide、プッシュ・SMS</t>
        </is>
      </c>
      <c r="G38" s="17" t="inlineStr">
        <is>
          <t>公式ヘルプ</t>
        </is>
      </c>
    </row>
    <row r="39">
      <c r="A39" s="16" t="inlineStr">
        <is>
          <t>欧州・オセアニア・中南米・中東アフリカ</t>
        </is>
      </c>
      <c r="B39" s="16" t="inlineStr">
        <is>
          <t>Shotgun / Xceed</t>
        </is>
      </c>
      <c r="C39" s="16" t="inlineStr">
        <is>
          <t>仏 / スペイン</t>
        </is>
      </c>
      <c r="D39" s="16" t="inlineStr">
        <is>
          <t>Shotgun 主催者6,000超・ユーザー600万超(求人票)、Xceed 累計予約3,000万超(2022)</t>
        </is>
      </c>
      <c r="E39" s="16" t="inlineStr">
        <is>
          <t>率は確認できず</t>
        </is>
      </c>
      <c r="F39" s="16" t="inlineStr">
        <is>
          <t>ナイトライフのアプリ+主催者SaaS</t>
        </is>
      </c>
      <c r="G39" s="16" t="inlineStr">
        <is>
          <t>[自社主張]、[要約]</t>
        </is>
      </c>
    </row>
    <row r="40">
      <c r="A40" s="16" t="inlineStr">
        <is>
          <t>欧州・オセアニア・中南米・中東アフリカ</t>
        </is>
      </c>
      <c r="B40" s="16" t="inlineStr">
        <is>
          <t>Weezevent / Weeztix</t>
        </is>
      </c>
      <c r="C40" s="16" t="inlineStr">
        <is>
          <t>仏 / 蘭</t>
        </is>
      </c>
      <c r="D40" s="16" t="inlineStr">
        <is>
          <t>主催者30万超(求人票の自己申告)</t>
        </is>
      </c>
      <c r="E40" s="16" t="inlineStr">
        <is>
          <t>€40未満0.99€/枚、以上2.5%(第三者)</t>
        </is>
      </c>
      <c r="F40" s="16" t="inlineStr">
        <is>
          <t>チケット・キャッシュレス・入場管理の統合</t>
        </is>
      </c>
      <c r="G40" s="16" t="inlineStr">
        <is>
          <t>要約、公式料金は未確認
https://accessaa.co.uk/weezevent-reports-strong-2025-growth/</t>
        </is>
      </c>
    </row>
    <row r="41">
      <c r="A41" s="16" t="inlineStr">
        <is>
          <t>欧州・オセアニア・中南米・中東アフリカ</t>
        </is>
      </c>
      <c r="B41" s="16" t="inlineStr">
        <is>
          <t>HelloAsso</t>
        </is>
      </c>
      <c r="C41" s="16" t="inlineStr">
        <is>
          <t>仏</t>
        </is>
      </c>
      <c r="D41" s="16" t="inlineStr">
        <is>
          <t>登録協会376,000・2024年売上€20M・累計€2bn超</t>
        </is>
      </c>
      <c r="E41" s="16" t="inlineStr">
        <is>
          <t>手数料0、参加者の任意チップ</t>
        </is>
      </c>
      <c r="F41" s="16" t="inlineStr">
        <is>
          <t>協会向け。チップ率は古い資料で約4%・60%</t>
        </is>
      </c>
      <c r="G41" s="17" t="inlineStr">
        <is>
          <t>要約</t>
        </is>
      </c>
    </row>
    <row r="42">
      <c r="A42" s="16" t="inlineStr">
        <is>
          <t>欧州・オセアニア・中南米・中東アフリカ</t>
        </is>
      </c>
      <c r="B42" s="16" t="inlineStr">
        <is>
          <t>Oztix / Moshtix</t>
        </is>
      </c>
      <c r="C42" s="16" t="inlineStr">
        <is>
          <t>豪</t>
        </is>
      </c>
      <c r="D42" s="16" t="inlineStr">
        <is>
          <t>Oztix 3,300万枚・主催者2.2万(自社)</t>
        </is>
      </c>
      <c r="E42" s="16" t="inlineStr">
        <is>
          <t>確認できず</t>
        </is>
      </c>
      <c r="F42" s="16" t="inlineStr">
        <is>
          <t>豪州資本の独立系 / Ticketmaster傘下</t>
        </is>
      </c>
      <c r="G42" s="17" t="inlineStr">
        <is>
          <t>自社主張</t>
        </is>
      </c>
    </row>
    <row r="43">
      <c r="A43" s="16" t="inlineStr">
        <is>
          <t>欧州・オセアニア・中南米・中東アフリカ</t>
        </is>
      </c>
      <c r="B43" s="16" t="inlineStr">
        <is>
          <t>Sympla</t>
        </is>
      </c>
      <c r="C43" s="16" t="inlineStr">
        <is>
          <t>ブラジル</t>
        </is>
      </c>
      <c r="D43" s="16" t="inlineStr">
        <is>
          <t>古い資料のみ(2013年売上R$5M等)</t>
        </is>
      </c>
      <c r="E43" s="16" t="inlineStr">
        <is>
          <t>有料10%(最低R$2.50)、無料は0</t>
        </is>
      </c>
      <c r="F43" s="16" t="inlineStr">
        <is>
          <t>小規模向けの無料掲載</t>
        </is>
      </c>
      <c r="G43" s="17" t="inlineStr">
        <is>
          <t>要約</t>
        </is>
      </c>
    </row>
    <row r="44">
      <c r="A44" s="16" t="inlineStr">
        <is>
          <t>欧州・オセアニア・中南米・中東アフリカ</t>
        </is>
      </c>
      <c r="B44" s="16" t="inlineStr">
        <is>
          <t>Passline</t>
        </is>
      </c>
      <c r="C44" s="16" t="inlineStr">
        <is>
          <t>チリ発・19か国</t>
        </is>
      </c>
      <c r="D44" s="16" t="inlineStr">
        <is>
          <t>確認できず</t>
        </is>
      </c>
      <c r="E44" s="16" t="inlineStr">
        <is>
          <t>確認できず</t>
        </is>
      </c>
      <c r="F44" s="16" t="inlineStr">
        <is>
          <t>自己管理型+飲食の事前販売</t>
        </is>
      </c>
      <c r="G44" s="17" t="inlineStr">
        <is>
          <t>要約</t>
        </is>
      </c>
    </row>
    <row r="45">
      <c r="A45" s="16" t="inlineStr">
        <is>
          <t>欧州・オセアニア・中南米・中東アフリカ</t>
        </is>
      </c>
      <c r="B45" s="16" t="inlineStr">
        <is>
          <t>Platinumlist</t>
        </is>
      </c>
      <c r="C45" s="16" t="inlineStr">
        <is>
          <t>UAE</t>
        </is>
      </c>
      <c r="D45" s="16" t="inlineStr">
        <is>
          <t>年間34M+訪問者・7,400+イベント(2025、自社)</t>
        </is>
      </c>
      <c r="E45" s="16" t="inlineStr">
        <is>
          <t>確認できず</t>
        </is>
      </c>
      <c r="F45" s="16" t="inlineStr">
        <is>
          <t>アプリ+許認可申請・スタッフ手配まで束ねる</t>
        </is>
      </c>
      <c r="G45" s="17" t="inlineStr">
        <is>
          <t>自社主張</t>
        </is>
      </c>
    </row>
    <row r="46">
      <c r="A46" s="16" t="inlineStr">
        <is>
          <t>欧州・オセアニア・中南米・中東アフリカ</t>
        </is>
      </c>
      <c r="B46" s="16" t="inlineStr">
        <is>
          <t>Quicket / Howler</t>
        </is>
      </c>
      <c r="C46" s="16" t="inlineStr">
        <is>
          <t>南ア</t>
        </is>
      </c>
      <c r="D46" s="16" t="inlineStr">
        <is>
          <t>規模は確認できず</t>
        </is>
      </c>
      <c r="E46" s="16" t="inlineStr">
        <is>
          <t>確認できず</t>
        </is>
      </c>
      <c r="F46" s="16" t="inlineStr">
        <is>
          <t>Quicket は Ticketmaster 傘下(2024-07)。Howler はチケット+キャッシュレス</t>
        </is>
      </c>
      <c r="G46" s="17" t="inlineStr">
        <is>
          <t>要約</t>
        </is>
      </c>
    </row>
  </sheetData>
  <autoFilter ref="A1:G46"/>
  <hyperlinks>
    <hyperlink xmlns:r="http://schemas.openxmlformats.org/officeDocument/2006/relationships" ref="G4" r:id="rId1"/>
    <hyperlink xmlns:r="http://schemas.openxmlformats.org/officeDocument/2006/relationships" ref="G8" r:id="rId2"/>
    <hyperlink xmlns:r="http://schemas.openxmlformats.org/officeDocument/2006/relationships" ref="G11" r:id="rId3"/>
    <hyperlink xmlns:r="http://schemas.openxmlformats.org/officeDocument/2006/relationships" ref="G12" r:id="rId4"/>
    <hyperlink xmlns:r="http://schemas.openxmlformats.org/officeDocument/2006/relationships" ref="G14" r:id="rId5"/>
    <hyperlink xmlns:r="http://schemas.openxmlformats.org/officeDocument/2006/relationships" ref="G16" r:id="rId6"/>
    <hyperlink xmlns:r="http://schemas.openxmlformats.org/officeDocument/2006/relationships" ref="G18" r:id="rId7"/>
    <hyperlink xmlns:r="http://schemas.openxmlformats.org/officeDocument/2006/relationships" ref="G20" r:id="rId8"/>
    <hyperlink xmlns:r="http://schemas.openxmlformats.org/officeDocument/2006/relationships" ref="G22" r:id="rId9"/>
    <hyperlink xmlns:r="http://schemas.openxmlformats.org/officeDocument/2006/relationships" ref="G23" r:id="rId10"/>
    <hyperlink xmlns:r="http://schemas.openxmlformats.org/officeDocument/2006/relationships" ref="G26" r:id="rId11"/>
    <hyperlink xmlns:r="http://schemas.openxmlformats.org/officeDocument/2006/relationships" ref="G27" r:id="rId12"/>
    <hyperlink xmlns:r="http://schemas.openxmlformats.org/officeDocument/2006/relationships" ref="G28" r:id="rId13"/>
    <hyperlink xmlns:r="http://schemas.openxmlformats.org/officeDocument/2006/relationships" ref="G30" r:id="rId14"/>
    <hyperlink xmlns:r="http://schemas.openxmlformats.org/officeDocument/2006/relationships" ref="G32" r:id="rId15"/>
    <hyperlink xmlns:r="http://schemas.openxmlformats.org/officeDocument/2006/relationships" ref="G34" r:id="rId16"/>
    <hyperlink xmlns:r="http://schemas.openxmlformats.org/officeDocument/2006/relationships" ref="G35" r:id="rId17"/>
    <hyperlink xmlns:r="http://schemas.openxmlformats.org/officeDocument/2006/relationships" ref="G37" r:id="rId18"/>
    <hyperlink xmlns:r="http://schemas.openxmlformats.org/officeDocument/2006/relationships" ref="G38" r:id="rId19"/>
    <hyperlink xmlns:r="http://schemas.openxmlformats.org/officeDocument/2006/relationships" ref="G41" r:id="rId20"/>
    <hyperlink xmlns:r="http://schemas.openxmlformats.org/officeDocument/2006/relationships" ref="G42" r:id="rId21"/>
    <hyperlink xmlns:r="http://schemas.openxmlformats.org/officeDocument/2006/relationships" ref="G43" r:id="rId22"/>
    <hyperlink xmlns:r="http://schemas.openxmlformats.org/officeDocument/2006/relationships" ref="G44" r:id="rId23"/>
    <hyperlink xmlns:r="http://schemas.openxmlformats.org/officeDocument/2006/relationships" ref="G45" r:id="rId24"/>
    <hyperlink xmlns:r="http://schemas.openxmlformats.org/officeDocument/2006/relationships" ref="G46" r:id="rId25"/>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4"/>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28.6" customWidth="1" min="1" max="1"/>
    <col width="51.4" customWidth="1" min="2" max="2"/>
    <col width="41.9" customWidth="1" min="3" max="3"/>
    <col width="37.15" customWidth="1" min="4" max="4"/>
    <col width="60" customWidth="1" min="5" max="5"/>
  </cols>
  <sheetData>
    <row r="1">
      <c r="A1" s="10" t="inlineStr">
        <is>
          <t>サービス</t>
        </is>
      </c>
      <c r="B1" s="10" t="inlineStr">
        <is>
          <t>無料イベント</t>
        </is>
      </c>
      <c r="C1" s="10" t="inlineStr">
        <is>
          <t>有料イベントの手数料</t>
        </is>
      </c>
      <c r="D1" s="10" t="inlineStr">
        <is>
          <t>主な負担者・固定費</t>
        </is>
      </c>
      <c r="E1" s="10" t="inlineStr">
        <is>
          <t>時点・信頼度</t>
        </is>
      </c>
    </row>
    <row r="2">
      <c r="A2" s="16" t="inlineStr">
        <is>
          <t>Eventbrite</t>
        </is>
      </c>
      <c r="B2" s="16" t="inlineStr">
        <is>
          <t>無料</t>
        </is>
      </c>
      <c r="C2" s="16" t="inlineStr">
        <is>
          <t>サービス料3.7%+$1.79/枚、決済2.9%/注文</t>
        </is>
      </c>
      <c r="D2" s="16" t="inlineStr">
        <is>
          <t>購入者が既定。Pro メール月$15〜(任意)</t>
        </is>
      </c>
      <c r="E2" s="16" t="inlineStr">
        <is>
          <t>2026-10 公式。競合は据え置きと報告 [競合発信]
https://www.eventbrite.com/organizer/pricing/</t>
        </is>
      </c>
    </row>
    <row r="3">
      <c r="A3" s="16" t="inlineStr">
        <is>
          <t>Luma</t>
        </is>
      </c>
      <c r="B3" s="16" t="inlineStr">
        <is>
          <t>無料</t>
        </is>
      </c>
      <c r="C3" s="16" t="inlineStr">
        <is>
          <t>Free 5% / Plus 0%(Stripe 約2.9%+30¢は別)</t>
        </is>
      </c>
      <c r="D3" s="16" t="inlineStr">
        <is>
          <t>主催者。Plus 月$59(年払い)</t>
        </is>
      </c>
      <c r="E3" s="16" t="inlineStr">
        <is>
          <t>公式。過去は3%と記すページもあり時期差
https://luma.com/pricing</t>
        </is>
      </c>
    </row>
    <row r="4">
      <c r="A4" s="16" t="inlineStr">
        <is>
          <t>Partiful</t>
        </is>
      </c>
      <c r="B4" s="16" t="inlineStr">
        <is>
          <t>無料</t>
        </is>
      </c>
      <c r="C4" s="16" t="inlineStr">
        <is>
          <t>少額(率は非公開)</t>
        </is>
      </c>
      <c r="D4" s="16" t="inlineStr">
        <is>
          <t>不明</t>
        </is>
      </c>
      <c r="E4" s="16" t="inlineStr">
        <is>
          <t>2026-06開始 公式ヘルプ
https://help.partiful.com/en-us/articles/15525600-how-does-partiful-make-money</t>
        </is>
      </c>
    </row>
    <row r="5">
      <c r="A5" s="16" t="inlineStr">
        <is>
          <t>Posh</t>
        </is>
      </c>
      <c r="B5" s="16" t="inlineStr">
        <is>
          <t>—</t>
        </is>
      </c>
      <c r="C5" s="16" t="inlineStr">
        <is>
          <t>約10%+$0.99/枚</t>
        </is>
      </c>
      <c r="D5" s="16" t="inlineStr">
        <is>
          <t>購入者が既定</t>
        </is>
      </c>
      <c r="E5" s="16" t="inlineStr">
        <is>
          <t>2026-03 報道
https://fortune.com/2026/03/19/exclusive-posh-lands-37m-series-b-what-are-we-doing-tonight-problem/</t>
        </is>
      </c>
    </row>
    <row r="6">
      <c r="A6" s="16" t="inlineStr">
        <is>
          <t>Universe</t>
        </is>
      </c>
      <c r="B6" s="16" t="inlineStr">
        <is>
          <t>無料</t>
        </is>
      </c>
      <c r="C6" s="16" t="inlineStr">
        <is>
          <t>2%+$0.59/枚</t>
        </is>
      </c>
      <c r="D6" s="16" t="inlineStr">
        <is>
          <t>—</t>
        </is>
      </c>
      <c r="E6" s="17" t="inlineStr">
        <is>
          <t>公式</t>
        </is>
      </c>
    </row>
    <row r="7">
      <c r="A7" s="16" t="inlineStr">
        <is>
          <t>Ticket Tailor</t>
        </is>
      </c>
      <c r="B7" s="16" t="inlineStr">
        <is>
          <t>年間一定枚数まで無料(5,000枚と2,000枚の記載で不一致)</t>
        </is>
      </c>
      <c r="C7" s="16" t="inlineStr">
        <is>
          <t>£0.60/枚(従量)〜£0.22/枚(前払い)+VAT</t>
        </is>
      </c>
      <c r="D7" s="16" t="inlineStr">
        <is>
          <t>主催者(購入者へ転嫁可)。サブスクなし</t>
        </is>
      </c>
      <c r="E7" s="17" t="inlineStr">
        <is>
          <t>公式</t>
        </is>
      </c>
    </row>
    <row r="8">
      <c r="A8" s="16" t="inlineStr">
        <is>
          <t>Humanitix</t>
        </is>
      </c>
      <c r="B8" s="16" t="inlineStr">
        <is>
          <t>無料</t>
        </is>
      </c>
      <c r="C8" s="16" t="inlineStr">
        <is>
          <t>4%+$0.99(米国は5%+$1.29とする二次情報あり)</t>
        </is>
      </c>
      <c r="D8" s="16" t="inlineStr">
        <is>
          <t>—</t>
        </is>
      </c>
      <c r="E8" s="16" t="inlineStr">
        <is>
          <t>公式、[要確認]
https://www.humanitix.com/pricing</t>
        </is>
      </c>
    </row>
    <row r="9">
      <c r="A9" s="16" t="inlineStr">
        <is>
          <t>pretix</t>
        </is>
      </c>
      <c r="B9" s="16" t="inlineStr">
        <is>
          <t>年500枚まで無料</t>
        </is>
      </c>
      <c r="C9" s="16" t="inlineStr">
        <is>
          <t>2.5%(上限€15/枚)</t>
        </is>
      </c>
      <c r="D9" s="16" t="inlineStr">
        <is>
          <t>なし</t>
        </is>
      </c>
      <c r="E9" s="17" t="inlineStr">
        <is>
          <t>公式</t>
        </is>
      </c>
    </row>
    <row r="10">
      <c r="A10" s="16" t="inlineStr">
        <is>
          <t>Fienta</t>
        </is>
      </c>
      <c r="B10" s="16" t="inlineStr">
        <is>
          <t>無料</t>
        </is>
      </c>
      <c r="C10" s="16" t="inlineStr">
        <is>
          <t>3.5%(最低€0.40/注文)+VAT</t>
        </is>
      </c>
      <c r="D10" s="16" t="inlineStr">
        <is>
          <t>主催者</t>
        </is>
      </c>
      <c r="E10" s="17" t="inlineStr">
        <is>
          <t>公式</t>
        </is>
      </c>
    </row>
    <row r="11">
      <c r="A11" s="16" t="inlineStr">
        <is>
          <t>Skiddle</t>
        </is>
      </c>
      <c r="B11" s="16" t="inlineStr">
        <is>
          <t>—</t>
        </is>
      </c>
      <c r="C11" s="16" t="inlineStr">
        <is>
          <t>10%+27p(最低£1)</t>
        </is>
      </c>
      <c r="D11" s="16" t="inlineStr">
        <is>
          <t>購入者が既定</t>
        </is>
      </c>
      <c r="E11" s="16" t="inlineStr">
        <is>
          <t>2026-08-17 公式ヘルプ
https://help.promotioncentre.co.uk/en/articles/9362892-what-is-the-booking-fee-rate-on-skiddle</t>
        </is>
      </c>
    </row>
    <row r="12">
      <c r="A12" s="16" t="inlineStr">
        <is>
          <t>Sympla</t>
        </is>
      </c>
      <c r="B12" s="16" t="inlineStr">
        <is>
          <t>無料</t>
        </is>
      </c>
      <c r="C12" s="16" t="inlineStr">
        <is>
          <t>10%(最低R$2.50)</t>
        </is>
      </c>
      <c r="D12" s="16" t="inlineStr">
        <is>
          <t>—</t>
        </is>
      </c>
      <c r="E12" s="17" t="inlineStr">
        <is>
          <t>要約</t>
        </is>
      </c>
    </row>
    <row r="13">
      <c r="A13" s="16" t="inlineStr">
        <is>
          <t>AllEvents</t>
        </is>
      </c>
      <c r="B13" s="16" t="inlineStr">
        <is>
          <t>無料</t>
        </is>
      </c>
      <c r="C13" s="16" t="inlineStr">
        <is>
          <t>購入者$1/枚(別ページは0.5%または$1)</t>
        </is>
      </c>
      <c r="D13" s="16" t="inlineStr">
        <is>
          <t>購入者。月額Free〜$200</t>
        </is>
      </c>
      <c r="E13" s="16" t="inlineStr">
        <is>
          <t>自社主張、[要確認]
https://allevents.in/pages/pricing</t>
        </is>
      </c>
    </row>
    <row r="14">
      <c r="A14" s="16" t="inlineStr">
        <is>
          <t>Zeffy / HelloAsso</t>
        </is>
      </c>
      <c r="B14" s="16" t="inlineStr">
        <is>
          <t>—</t>
        </is>
      </c>
      <c r="C14" s="16" t="inlineStr">
        <is>
          <t>0(任意チップ)</t>
        </is>
      </c>
      <c r="D14" s="16" t="inlineStr">
        <is>
          <t>寄付者・購入者の任意</t>
        </is>
      </c>
      <c r="E14" s="17" t="inlineStr">
        <is>
          <t>報道</t>
        </is>
      </c>
    </row>
    <row r="15">
      <c r="A15" s="16" t="inlineStr">
        <is>
          <t>Meetup</t>
        </is>
      </c>
      <c r="B15" s="16" t="inlineStr">
        <is>
          <t>—</t>
        </is>
      </c>
      <c r="C15" s="16" t="inlineStr">
        <is>
          <t>手数料ではなく主催者サブスク</t>
        </is>
      </c>
      <c r="D15" s="16" t="inlineStr">
        <is>
          <t>Standard月$29.99〜、PRO月$55〜</t>
        </is>
      </c>
      <c r="E15" s="16" t="inlineStr">
        <is>
          <t>2026-10 公式ヘルプ
https://help.meetup.com/hc/en-us/articles/28677808413197</t>
        </is>
      </c>
    </row>
    <row r="16">
      <c r="A16" s="16" t="inlineStr">
        <is>
          <t>Doorkeeper</t>
        </is>
      </c>
      <c r="B16" s="16" t="inlineStr">
        <is>
          <t>初回無料、2件目から月額</t>
        </is>
      </c>
      <c r="C16" s="16" t="inlineStr">
        <is>
          <t>前払い99円+2.5%(+Stripe)</t>
        </is>
      </c>
      <c r="D16" s="16" t="inlineStr">
        <is>
          <t>月額1,650〜17,600円(税込)</t>
        </is>
      </c>
      <c r="E16" s="17" t="inlineStr">
        <is>
          <t>公式</t>
        </is>
      </c>
    </row>
    <row r="17">
      <c r="A17" s="16" t="inlineStr">
        <is>
          <t>Peatix</t>
        </is>
      </c>
      <c r="B17" s="16" t="n">
        <v>0</v>
      </c>
      <c r="C17" s="16" t="inlineStr">
        <is>
          <t>4.9%+99円/枚</t>
        </is>
      </c>
      <c r="D17" s="16" t="inlineStr">
        <is>
          <t>主催者</t>
        </is>
      </c>
      <c r="E17" s="16" t="inlineStr">
        <is>
          <t>二次(公式の料金ページは未取得)
https://www.sungrove.co.jp/peatix/</t>
        </is>
      </c>
    </row>
    <row r="18">
      <c r="A18" s="16" t="inlineStr">
        <is>
          <t>こくちーず</t>
        </is>
      </c>
      <c r="B18" s="16" t="n">
        <v>0</v>
      </c>
      <c r="C18" s="16" t="inlineStr">
        <is>
          <t>4.8%+99円(PayPal 6.0%+100円)</t>
        </is>
      </c>
      <c r="D18" s="16" t="inlineStr">
        <is>
          <t>主催者。コンビニ/ATMは購入者220円</t>
        </is>
      </c>
      <c r="E18" s="17" t="inlineStr">
        <is>
          <t>公式</t>
        </is>
      </c>
    </row>
    <row r="19">
      <c r="A19" s="16" t="inlineStr">
        <is>
          <t>EventRegist</t>
        </is>
      </c>
      <c r="B19" s="16" t="n">
        <v>0</v>
      </c>
      <c r="C19" s="16" t="inlineStr">
        <is>
          <t>8%</t>
        </is>
      </c>
      <c r="D19" s="16" t="inlineStr">
        <is>
          <t>主催者。Basic+ 10万円+税</t>
        </is>
      </c>
      <c r="E19" s="17" t="inlineStr">
        <is>
          <t>公式</t>
        </is>
      </c>
    </row>
    <row r="20">
      <c r="A20" s="16" t="inlineStr">
        <is>
          <t>teket</t>
        </is>
      </c>
      <c r="B20" s="16" t="n">
        <v>0</v>
      </c>
      <c r="C20" s="16" t="inlineStr">
        <is>
          <t>自由席・配信8%/指定席10%(2023時点)</t>
        </is>
      </c>
      <c r="D20" s="16" t="inlineStr">
        <is>
          <t>主催者</t>
        </is>
      </c>
      <c r="E20" s="16" t="inlineStr">
        <is>
          <t>ドコモ、現行は未確認
https://www.docomo.ne.jp/info/news_release/2023/10/02_00.html</t>
        </is>
      </c>
    </row>
    <row r="21">
      <c r="A21" s="16" t="inlineStr">
        <is>
          <t>LIVEPOCKET / 楽天 mini</t>
        </is>
      </c>
      <c r="B21" s="16" t="inlineStr">
        <is>
          <t>—</t>
        </is>
      </c>
      <c r="C21" s="16" t="inlineStr">
        <is>
          <t>5% / 4.9%</t>
        </is>
      </c>
      <c r="D21" s="16" t="inlineStr">
        <is>
          <t>LIVEPOCKET は購入者に165円/枚</t>
        </is>
      </c>
      <c r="E21" s="16" t="inlineStr">
        <is>
          <t>KDDI PR、楽天 mini
https://prtimes.jp/main/html/rd/p/000001292.000034485.html
https://netshop.impress.co.jp/node/12595</t>
        </is>
      </c>
    </row>
    <row r="22">
      <c r="A22" s="16" t="inlineStr">
        <is>
          <t>ストアカ</t>
        </is>
      </c>
      <c r="B22" s="16" t="inlineStr">
        <is>
          <t>—</t>
        </is>
      </c>
      <c r="C22" s="16" t="inlineStr">
        <is>
          <t>初回10%/30%(対面20%)、再受講10%</t>
        </is>
      </c>
      <c r="D22" s="16" t="inlineStr">
        <is>
          <t>講師</t>
        </is>
      </c>
      <c r="E22" s="17" t="inlineStr">
        <is>
          <t>公式</t>
        </is>
      </c>
    </row>
    <row r="23">
      <c r="A23" s="16" t="inlineStr">
        <is>
          <t>프립 / 문토 / 활동행</t>
        </is>
      </c>
      <c r="B23" s="16" t="inlineStr">
        <is>
          <t>—</t>
        </is>
      </c>
      <c r="C23" s="16" t="inlineStr">
        <is>
          <t>9.9% / 20% / 0%+1元(別ページ2.5%+1元)</t>
        </is>
      </c>
      <c r="D23" s="16" t="inlineStr">
        <is>
          <t>主催者</t>
        </is>
      </c>
      <c r="E23" s="17" t="inlineStr">
        <is>
          <t>要確認</t>
        </is>
      </c>
    </row>
    <row r="24">
      <c r="A24" s="16" t="inlineStr">
        <is>
          <t>Eatwith / Airbnb Experiences</t>
        </is>
      </c>
      <c r="B24" s="16" t="inlineStr">
        <is>
          <t>—</t>
        </is>
      </c>
      <c r="C24" s="16" t="inlineStr">
        <is>
          <t>ゲストが30%上乗せ / ホスト側20%</t>
        </is>
      </c>
      <c r="D24" s="16" t="inlineStr">
        <is>
          <t>ゲスト / ホスト</t>
        </is>
      </c>
      <c r="E24" s="16" t="inlineStr">
        <is>
          <t>Eatwith ヘルプ、Arival
https://intercom.help/eatwith/en/articles/4118435-pricing-your-experiences
https://arival.travel/?p=187663</t>
        </is>
      </c>
    </row>
  </sheetData>
  <autoFilter ref="A1:E24"/>
  <hyperlinks>
    <hyperlink xmlns:r="http://schemas.openxmlformats.org/officeDocument/2006/relationships" ref="E6" r:id="rId1"/>
    <hyperlink xmlns:r="http://schemas.openxmlformats.org/officeDocument/2006/relationships" ref="E7" r:id="rId2"/>
    <hyperlink xmlns:r="http://schemas.openxmlformats.org/officeDocument/2006/relationships" ref="E9" r:id="rId3"/>
    <hyperlink xmlns:r="http://schemas.openxmlformats.org/officeDocument/2006/relationships" ref="E10" r:id="rId4"/>
    <hyperlink xmlns:r="http://schemas.openxmlformats.org/officeDocument/2006/relationships" ref="E12" r:id="rId5"/>
    <hyperlink xmlns:r="http://schemas.openxmlformats.org/officeDocument/2006/relationships" ref="E14" r:id="rId6"/>
    <hyperlink xmlns:r="http://schemas.openxmlformats.org/officeDocument/2006/relationships" ref="E16" r:id="rId7"/>
    <hyperlink xmlns:r="http://schemas.openxmlformats.org/officeDocument/2006/relationships" ref="E18" r:id="rId8"/>
    <hyperlink xmlns:r="http://schemas.openxmlformats.org/officeDocument/2006/relationships" ref="E19" r:id="rId9"/>
    <hyperlink xmlns:r="http://schemas.openxmlformats.org/officeDocument/2006/relationships" ref="E22" r:id="rId10"/>
    <hyperlink xmlns:r="http://schemas.openxmlformats.org/officeDocument/2006/relationships" ref="E23" r:id="rId1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7"/>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28.6" customWidth="1" min="1" max="1"/>
    <col width="10.55" customWidth="1" min="2" max="2"/>
    <col width="22.9" customWidth="1" min="3" max="3"/>
    <col width="60" customWidth="1" min="4" max="4"/>
    <col width="60" customWidth="1" min="5" max="5"/>
    <col width="8" customWidth="1" min="6" max="6"/>
  </cols>
  <sheetData>
    <row r="1">
      <c r="A1" s="10" t="inlineStr">
        <is>
          <t>サービス</t>
        </is>
      </c>
      <c r="B1" s="10" t="inlineStr">
        <is>
          <t>国</t>
        </is>
      </c>
      <c r="C1" s="10" t="inlineStr">
        <is>
          <t>領域</t>
        </is>
      </c>
      <c r="D1" s="10" t="inlineStr">
        <is>
          <t>料金の目安</t>
        </is>
      </c>
      <c r="E1" s="10" t="inlineStr">
        <is>
          <t>導入数</t>
        </is>
      </c>
      <c r="F1" s="10" t="inlineStr">
        <is>
          <t>信頼度</t>
        </is>
      </c>
    </row>
    <row r="2">
      <c r="A2" s="16" t="inlineStr">
        <is>
          <t>TableCheck</t>
        </is>
      </c>
      <c r="B2" s="16" t="inlineStr">
        <is>
          <t>日本</t>
        </is>
      </c>
      <c r="C2" s="16" t="inlineStr">
        <is>
          <t>台帳</t>
        </is>
      </c>
      <c r="D2" s="16" t="inlineStr">
        <is>
          <t>非公開。[要約] オプション月2,000円+5円/取引(2022年の特別プラン)</t>
        </is>
      </c>
      <c r="E2" s="16" t="inlineStr">
        <is>
          <t>13,000店以上(公式)/約11,300(沿革)/10,143(2024-05)/14,000超(2026-08)[自社主張]</t>
        </is>
      </c>
      <c r="F2" s="16" t="inlineStr">
        <is>
          <t>中</t>
        </is>
      </c>
    </row>
    <row r="3">
      <c r="A3" s="16" t="inlineStr">
        <is>
          <t>トレタ</t>
        </is>
      </c>
      <c r="B3" s="16" t="inlineStr">
        <is>
          <t>日本</t>
        </is>
      </c>
      <c r="C3" s="16" t="inlineStr">
        <is>
          <t>台帳</t>
        </is>
      </c>
      <c r="D3" s="16" t="inlineStr">
        <is>
          <t>非公開</t>
        </is>
      </c>
      <c r="E3" s="16" t="inlineStr">
        <is>
          <t>累計1万9000店舗超(累計)</t>
        </is>
      </c>
      <c r="F3" s="16" t="inlineStr">
        <is>
          <t>中</t>
        </is>
      </c>
    </row>
    <row r="4">
      <c r="A4" s="16" t="inlineStr">
        <is>
          <t>ebica</t>
        </is>
      </c>
      <c r="B4" s="16" t="inlineStr">
        <is>
          <t>日本</t>
        </is>
      </c>
      <c r="C4" s="16" t="inlineStr">
        <is>
          <t>台帳</t>
        </is>
      </c>
      <c r="D4" s="16" t="inlineStr">
        <is>
          <t>価格表はフォーム経由。第三者に約10,000円〜/初期3万円目安</t>
        </is>
      </c>
      <c r="E4" s="16" t="inlineStr">
        <is>
          <t>15,000店舗を支援(累計表現)</t>
        </is>
      </c>
      <c r="F4" s="16" t="inlineStr">
        <is>
          <t>中</t>
        </is>
      </c>
    </row>
    <row r="5">
      <c r="A5" s="16" t="inlineStr">
        <is>
          <t>OMAKASE</t>
        </is>
      </c>
      <c r="B5" s="16" t="inlineStr">
        <is>
          <t>日本</t>
        </is>
      </c>
      <c r="C5" s="16" t="inlineStr">
        <is>
          <t>予約管理</t>
        </is>
      </c>
      <c r="D5" s="16" t="inlineStr">
        <is>
          <t>利用者が1席390円(2021)。店舗側は未確認</t>
        </is>
      </c>
      <c r="E5" s="16" t="inlineStr">
        <is>
          <t>230店以上(2021)。[要約] 約1,000</t>
        </is>
      </c>
      <c r="F5" s="16" t="inlineStr">
        <is>
          <t>低</t>
        </is>
      </c>
    </row>
    <row r="6">
      <c r="A6" s="16" t="inlineStr">
        <is>
          <t>Airリザーブ</t>
        </is>
      </c>
      <c r="B6" s="16" t="inlineStr">
        <is>
          <t>日本</t>
        </is>
      </c>
      <c r="C6" s="16" t="inlineStr">
        <is>
          <t>台帳(汎用)</t>
        </is>
      </c>
      <c r="D6" s="16" t="inlineStr">
        <is>
          <t>0/5,500/11,000円+決済3.24%</t>
        </is>
      </c>
      <c r="E6" s="16" t="inlineStr">
        <is>
          <t>記載なし</t>
        </is>
      </c>
      <c r="F6" s="16" t="inlineStr">
        <is>
          <t>高</t>
        </is>
      </c>
    </row>
    <row r="7">
      <c r="A7" s="16" t="inlineStr">
        <is>
          <t>ぐるなび台帳</t>
        </is>
      </c>
      <c r="B7" s="16" t="inlineStr">
        <is>
          <t>日本</t>
        </is>
      </c>
      <c r="C7" s="16" t="inlineStr">
        <is>
          <t>台帳+ポータル</t>
        </is>
      </c>
      <c r="D7" s="16" t="inlineStr">
        <is>
          <t>0/11,000/33,000円+人数手数料</t>
        </is>
      </c>
      <c r="E7" s="16" t="inlineStr">
        <is>
          <t>不明</t>
        </is>
      </c>
      <c r="F7" s="16" t="inlineStr">
        <is>
          <t>中</t>
        </is>
      </c>
    </row>
    <row r="8">
      <c r="A8" s="16" t="inlineStr">
        <is>
          <t>SevenRooms</t>
        </is>
      </c>
      <c r="B8" s="16" t="inlineStr">
        <is>
          <t>米国</t>
        </is>
      </c>
      <c r="C8" s="16" t="inlineStr">
        <is>
          <t>台帳・CRM・イベント</t>
        </is>
      </c>
      <c r="D8" s="16" t="inlineStr">
        <is>
          <t>見積。競合推定で会場あたり月$400〜$1,200超</t>
        </is>
      </c>
      <c r="E8" s="16" t="inlineStr">
        <is>
          <t>13,000以上(DoorDash)/15,000超(自社)</t>
        </is>
      </c>
      <c r="F8" s="16" t="inlineStr">
        <is>
          <t>中</t>
        </is>
      </c>
    </row>
    <row r="9">
      <c r="A9" s="16" t="inlineStr">
        <is>
          <t>OpenTable</t>
        </is>
      </c>
      <c r="B9" s="16" t="inlineStr">
        <is>
          <t>米国</t>
        </is>
      </c>
      <c r="C9" s="16" t="inlineStr">
        <is>
          <t>台帳</t>
        </is>
      </c>
      <c r="D9" s="16" t="inlineStr">
        <is>
          <t>出典間で不一致($149/$299/$499 等+カバー$1〜1.50、前払いに2%)</t>
        </is>
      </c>
      <c r="E9" s="16" t="inlineStr">
        <is>
          <t>[要約] 60,000店超</t>
        </is>
      </c>
      <c r="F9" s="16" t="inlineStr">
        <is>
          <t>低〜中</t>
        </is>
      </c>
    </row>
    <row r="10">
      <c r="A10" s="16" t="inlineStr">
        <is>
          <t>Resy</t>
        </is>
      </c>
      <c r="B10" s="16" t="inlineStr">
        <is>
          <t>米国</t>
        </is>
      </c>
      <c r="C10" s="16" t="inlineStr">
        <is>
          <t>台帳・イベント</t>
        </is>
      </c>
      <c r="D10" s="16" t="inlineStr">
        <is>
          <t>競合記事で月$249/$399(〜$899)。カバー課金なし</t>
        </is>
      </c>
      <c r="E10" s="16" t="inlineStr">
        <is>
          <t>Tock 統合後に25,000会場超(計画)</t>
        </is>
      </c>
      <c r="F10" s="16" t="inlineStr">
        <is>
          <t>中</t>
        </is>
      </c>
    </row>
    <row r="11">
      <c r="A11" s="16" t="inlineStr">
        <is>
          <t>Tock</t>
        </is>
      </c>
      <c r="B11" s="16" t="inlineStr">
        <is>
          <t>米国</t>
        </is>
      </c>
      <c r="C11" s="16" t="inlineStr">
        <is>
          <t>前払い・体験</t>
        </is>
      </c>
      <c r="D11" s="16" t="inlineStr">
        <is>
          <t>出典間で不一致($0〜$899/月+前払いに0〜3%)</t>
        </is>
      </c>
      <c r="E11" s="16" t="inlineStr">
        <is>
          <t>約7,000(2024-10)</t>
        </is>
      </c>
      <c r="F11" s="16" t="inlineStr">
        <is>
          <t>中</t>
        </is>
      </c>
    </row>
    <row r="12">
      <c r="A12" s="16" t="inlineStr">
        <is>
          <t>Toast Tables</t>
        </is>
      </c>
      <c r="B12" s="16" t="inlineStr">
        <is>
          <t>米国</t>
        </is>
      </c>
      <c r="C12" s="16" t="inlineStr">
        <is>
          <t>台帳(Toast 専用)</t>
        </is>
      </c>
      <c r="D12" s="16" t="inlineStr">
        <is>
          <t>非公開(2023年の発売時は月$50/$199と報道)</t>
        </is>
      </c>
      <c r="E12" s="16" t="inlineStr">
        <is>
          <t>不明</t>
        </is>
      </c>
      <c r="F12" s="16" t="inlineStr">
        <is>
          <t>低</t>
        </is>
      </c>
    </row>
    <row r="13">
      <c r="A13" s="16" t="inlineStr">
        <is>
          <t>Yelp Guest Manager</t>
        </is>
      </c>
      <c r="B13" s="16" t="inlineStr">
        <is>
          <t>米国</t>
        </is>
      </c>
      <c r="C13" s="16" t="inlineStr">
        <is>
          <t>台帳</t>
        </is>
      </c>
      <c r="D13" s="16" t="inlineStr">
        <is>
          <t>Basic $159/Plus $349(競合記載)</t>
        </is>
      </c>
      <c r="E13" s="16" t="inlineStr">
        <is>
          <t>11,000以上 [自社主張]</t>
        </is>
      </c>
      <c r="F13" s="16" t="inlineStr">
        <is>
          <t>低〜中</t>
        </is>
      </c>
    </row>
    <row r="14">
      <c r="A14" s="16" t="inlineStr">
        <is>
          <t>Eat App・resos</t>
        </is>
      </c>
      <c r="B14" s="16" t="inlineStr">
        <is>
          <t>海外</t>
        </is>
      </c>
      <c r="C14" s="16" t="inlineStr">
        <is>
          <t>台帳</t>
        </is>
      </c>
      <c r="D14" s="16" t="inlineStr">
        <is>
          <t>Eat App 月$0〜$389、resos 月€0〜€63+アドオン</t>
        </is>
      </c>
      <c r="E14" s="16" t="inlineStr">
        <is>
          <t>resos 3,000以上 [自社主張]</t>
        </is>
      </c>
      <c r="F14" s="16" t="inlineStr">
        <is>
          <t>高</t>
        </is>
      </c>
    </row>
    <row r="15">
      <c r="A15" s="16" t="inlineStr">
        <is>
          <t>Tripleseat</t>
        </is>
      </c>
      <c r="B15" s="16" t="inlineStr">
        <is>
          <t>海外</t>
        </is>
      </c>
      <c r="C15" s="16" t="inlineStr">
        <is>
          <t>貸切管理</t>
        </is>
      </c>
      <c r="D15" s="16" t="inlineStr">
        <is>
          <t>月$375/会場から</t>
        </is>
      </c>
      <c r="E15" s="16" t="inlineStr">
        <is>
          <t>20,000超 [自社主張]</t>
        </is>
      </c>
      <c r="F15" s="16" t="inlineStr">
        <is>
          <t>中</t>
        </is>
      </c>
    </row>
    <row r="16">
      <c r="A16" s="16" t="inlineStr">
        <is>
          <t>Perfect Venue</t>
        </is>
      </c>
      <c r="B16" s="16" t="inlineStr">
        <is>
          <t>海外</t>
        </is>
      </c>
      <c r="C16" s="16" t="inlineStr">
        <is>
          <t>貸切管理</t>
        </is>
      </c>
      <c r="D16" s="16" t="inlineStr">
        <is>
          <t>無料プランあり。月$199〜$299+カード手数料</t>
        </is>
      </c>
      <c r="E16" s="16" t="inlineStr">
        <is>
          <t>非公開</t>
        </is>
      </c>
      <c r="F16" s="16" t="inlineStr">
        <is>
          <t>高</t>
        </is>
      </c>
    </row>
    <row r="17">
      <c r="A17" s="16" t="inlineStr">
        <is>
          <t>Eventbrite</t>
        </is>
      </c>
      <c r="B17" s="16" t="inlineStr">
        <is>
          <t>海外</t>
        </is>
      </c>
      <c r="C17" s="16" t="inlineStr">
        <is>
          <t>チケット</t>
        </is>
      </c>
      <c r="D17" s="16" t="inlineStr">
        <is>
          <t>3.7%+$1.79/枚+2.9%/注文</t>
        </is>
      </c>
      <c r="E17" s="16" t="inlineStr">
        <is>
          <t>飲食店の実態は未確認</t>
        </is>
      </c>
      <c r="F17" s="16" t="inlineStr">
        <is>
          <t>高</t>
        </is>
      </c>
    </row>
    <row r="18">
      <c r="A18" s="16" t="inlineStr">
        <is>
          <t>ホットペッパーグルメ</t>
        </is>
      </c>
      <c r="B18" s="16" t="inlineStr">
        <is>
          <t>日本</t>
        </is>
      </c>
      <c r="C18" s="16" t="inlineStr">
        <is>
          <t>ポータル</t>
        </is>
      </c>
      <c r="D18" s="16" t="inlineStr">
        <is>
          <t>固定費0円。夜150円+50pt/人、昼40円+10pt/人</t>
        </is>
      </c>
      <c r="E18" s="16" t="inlineStr">
        <is>
          <t>掲載約10万店 [自社主張]</t>
        </is>
      </c>
      <c r="F18" s="16" t="inlineStr">
        <is>
          <t>高</t>
        </is>
      </c>
    </row>
    <row r="19">
      <c r="A19" s="16" t="inlineStr">
        <is>
          <t>食べログ</t>
        </is>
      </c>
      <c r="B19" s="16" t="inlineStr">
        <is>
          <t>日本</t>
        </is>
      </c>
      <c r="C19" s="16" t="inlineStr">
        <is>
          <t>ポータル</t>
        </is>
      </c>
      <c r="D19" s="16" t="inlineStr">
        <is>
          <t>固定費0円。夜200円/昼100円(人)</t>
        </is>
      </c>
      <c r="E19" s="16" t="inlineStr">
        <is>
          <t>ネット予約契約75,000店超 [自社主張]</t>
        </is>
      </c>
      <c r="F19" s="16" t="inlineStr">
        <is>
          <t>高</t>
        </is>
      </c>
    </row>
    <row r="20">
      <c r="A20" s="16" t="inlineStr">
        <is>
          <t>ぐるなび</t>
        </is>
      </c>
      <c r="B20" s="16" t="inlineStr">
        <is>
          <t>日本</t>
        </is>
      </c>
      <c r="C20" s="16" t="inlineStr">
        <is>
          <t>ポータル</t>
        </is>
      </c>
      <c r="D20" s="16" t="inlineStr">
        <is>
          <t>スタート0円(夜205円/昼41円)。ライト11,000円、ベーシック33,000円</t>
        </is>
      </c>
      <c r="E20" s="16" t="inlineStr">
        <is>
          <t>不明</t>
        </is>
      </c>
      <c r="F20" s="16" t="inlineStr">
        <is>
          <t>中</t>
        </is>
      </c>
    </row>
    <row r="21">
      <c r="A21" s="16" t="inlineStr">
        <is>
          <t>ヒトサラ・一休.com</t>
        </is>
      </c>
      <c r="B21" s="16" t="inlineStr">
        <is>
          <t>日本</t>
        </is>
      </c>
      <c r="C21" s="16" t="inlineStr">
        <is>
          <t>ポータル</t>
        </is>
      </c>
      <c r="D21" s="16" t="inlineStr">
        <is>
          <t>ヒトサラは無料掲載あり(有料は未確認)。一休は成功報酬8%(2022-08)</t>
        </is>
      </c>
      <c r="E21" s="16" t="inlineStr">
        <is>
          <t>不明</t>
        </is>
      </c>
      <c r="F21" s="16" t="inlineStr">
        <is>
          <t>中</t>
        </is>
      </c>
    </row>
    <row r="22">
      <c r="A22" s="16" t="inlineStr">
        <is>
          <t>Peatix・こくちーず・ストアカ</t>
        </is>
      </c>
      <c r="B22" s="16" t="inlineStr">
        <is>
          <t>日本</t>
        </is>
      </c>
      <c r="C22" s="16" t="inlineStr">
        <is>
          <t>告知・販売</t>
        </is>
      </c>
      <c r="D22" s="16" t="inlineStr">
        <is>
          <t>Peatix 4.9%+99円/枚、こくちーず無料、ストアカ10〜30%</t>
        </is>
      </c>
      <c r="E22" s="16" t="inlineStr">
        <is>
          <t>Peatix 登録700万/840万人超(不一致)[要約]</t>
        </is>
      </c>
      <c r="F22" s="16" t="inlineStr">
        <is>
          <t>中</t>
        </is>
      </c>
    </row>
    <row r="23">
      <c r="A23" s="16" t="inlineStr">
        <is>
          <t>LINE公式/レストランプラス</t>
        </is>
      </c>
      <c r="B23" s="16" t="inlineStr">
        <is>
          <t>日本</t>
        </is>
      </c>
      <c r="C23" s="16" t="inlineStr">
        <is>
          <t>配信・モバイルオーダー</t>
        </is>
      </c>
      <c r="D23" s="16" t="inlineStr">
        <is>
          <t>0/5,000/15,000円(税別)。レストランプラスは基本月額非掲載</t>
        </is>
      </c>
      <c r="E23" s="16" t="inlineStr">
        <is>
          <t>飲食店の導入率は未確認</t>
        </is>
      </c>
      <c r="F23" s="16" t="inlineStr">
        <is>
          <t>高</t>
        </is>
      </c>
    </row>
    <row r="24">
      <c r="A24" s="16" t="inlineStr">
        <is>
          <t>Thanx・PAR Punchh</t>
        </is>
      </c>
      <c r="B24" s="16" t="inlineStr">
        <is>
          <t>米国/海外</t>
        </is>
      </c>
      <c r="C24" s="16" t="inlineStr">
        <is>
          <t>ロイヤルティ</t>
        </is>
      </c>
      <c r="D24" s="16" t="inlineStr">
        <is>
          <t>非公開</t>
        </is>
      </c>
      <c r="E24" s="16" t="inlineStr">
        <is>
          <t>PAR Punchh 89,000店舗以上 [自社主張]</t>
        </is>
      </c>
      <c r="F24" s="16" t="inlineStr">
        <is>
          <t>中</t>
        </is>
      </c>
    </row>
    <row r="25">
      <c r="A25" s="16" t="inlineStr">
        <is>
          <t>Toast・Square・Owner.com</t>
        </is>
      </c>
      <c r="B25" s="16" t="inlineStr">
        <is>
          <t>米国</t>
        </is>
      </c>
      <c r="C25" s="16" t="inlineStr">
        <is>
          <t>POS 同梱のマーケ</t>
        </is>
      </c>
      <c r="D25" s="16" t="inlineStr">
        <is>
          <t>Toast は SMS 月$185〜、Square は Plus 以上、Owner.com は月$249+5%または$499</t>
        </is>
      </c>
      <c r="E25" s="16" t="inlineStr">
        <is>
          <t>不明</t>
        </is>
      </c>
      <c r="F25" s="16" t="inlineStr">
        <is>
          <t>中〜高</t>
        </is>
      </c>
    </row>
    <row r="26">
      <c r="A26" s="16" t="inlineStr">
        <is>
          <t>favy・GMOおみせアプリ</t>
        </is>
      </c>
      <c r="B26" s="16" t="inlineStr">
        <is>
          <t>日本</t>
        </is>
      </c>
      <c r="C26" s="16" t="inlineStr">
        <is>
          <t>スタンプ・サブスク</t>
        </is>
      </c>
      <c r="D26" s="16" t="inlineStr">
        <is>
          <t>月7,000円〜/月0円+注文額の2%(記事間で不一致)</t>
        </is>
      </c>
      <c r="E26" s="16" t="inlineStr">
        <is>
          <t>GMOおみせアプリ6,000店以上</t>
        </is>
      </c>
      <c r="F26" s="16" t="inlineStr">
        <is>
          <t>低〜中</t>
        </is>
      </c>
    </row>
    <row r="27">
      <c r="A27" s="16" t="inlineStr">
        <is>
          <t>THE FAN・CAMPFIRE Community</t>
        </is>
      </c>
      <c r="B27" s="16" t="inlineStr">
        <is>
          <t>日本</t>
        </is>
      </c>
      <c r="C27" s="16" t="inlineStr">
        <is>
          <t>会員制・コミュニティ</t>
        </is>
      </c>
      <c r="D27" s="16" t="inlineStr">
        <is>
          <t>THE FAN 月27,500円(キャンペーン)、CAMPFIRE は初期0円</t>
        </is>
      </c>
      <c r="E27" s="16" t="inlineStr">
        <is>
          <t>THE FAN 加盟3店</t>
        </is>
      </c>
      <c r="F27" s="16" t="inlineStr">
        <is>
          <t>中</t>
        </is>
      </c>
    </row>
  </sheetData>
  <autoFilter ref="A1:F2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7"/>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30.5" customWidth="1" min="1" max="1"/>
    <col width="18.15" customWidth="1" min="2" max="2"/>
    <col width="19.1" customWidth="1" min="3" max="3"/>
    <col width="21.95" customWidth="1" min="4" max="4"/>
    <col width="17.2" customWidth="1" min="5" max="5"/>
    <col width="60" customWidth="1" min="6" max="6"/>
  </cols>
  <sheetData>
    <row r="1">
      <c r="A1" s="10" t="inlineStr">
        <is>
          <t>サービス</t>
        </is>
      </c>
      <c r="B1" s="10" t="inlineStr">
        <is>
          <t>固定費</t>
        </is>
      </c>
      <c r="C1" s="10" t="inlineStr">
        <is>
          <t>ランチ</t>
        </is>
      </c>
      <c r="D1" s="10" t="inlineStr">
        <is>
          <t>ディナー</t>
        </is>
      </c>
      <c r="E1" s="10" t="inlineStr">
        <is>
          <t>3,000円/人コースの夜の概算</t>
        </is>
      </c>
      <c r="F1" s="10" t="inlineStr">
        <is>
          <t>備考</t>
        </is>
      </c>
    </row>
    <row r="2">
      <c r="A2" s="16" t="inlineStr">
        <is>
          <t>食べログ</t>
        </is>
      </c>
      <c r="B2" s="16" t="inlineStr">
        <is>
          <t>0円</t>
        </is>
      </c>
      <c r="C2" s="16" t="inlineStr">
        <is>
          <t>100円</t>
        </is>
      </c>
      <c r="D2" s="16" t="inlineStr">
        <is>
          <t>200円</t>
        </is>
      </c>
      <c r="E2" s="16" t="inlineStr">
        <is>
          <t>約6.7%</t>
        </is>
      </c>
      <c r="F2" s="16" t="inlineStr">
        <is>
          <t>税抜、月次請求。no-show は非課金</t>
        </is>
      </c>
    </row>
    <row r="3">
      <c r="A3" s="16" t="inlineStr">
        <is>
          <t>ホットペッパーグルメ</t>
        </is>
      </c>
      <c r="B3" s="16" t="inlineStr">
        <is>
          <t>0円</t>
        </is>
      </c>
      <c r="C3" s="16" t="inlineStr">
        <is>
          <t>40円+10pt</t>
        </is>
      </c>
      <c r="D3" s="16" t="inlineStr">
        <is>
          <t>150円+50pt(200円相当)</t>
        </is>
      </c>
      <c r="E3" s="16" t="inlineStr">
        <is>
          <t>約6.7%</t>
        </is>
      </c>
      <c r="F3" s="16" t="inlineStr">
        <is>
          <t>1pt=1円。キャンセルは無料だが店側の取消処理が必要。単価変更は1か月前に通知</t>
        </is>
      </c>
    </row>
    <row r="4">
      <c r="A4" s="16" t="inlineStr">
        <is>
          <t>ぐるなび(スタート)</t>
        </is>
      </c>
      <c r="B4" s="16" t="inlineStr">
        <is>
          <t>0円</t>
        </is>
      </c>
      <c r="C4" s="16" t="inlineStr">
        <is>
          <t>41円</t>
        </is>
      </c>
      <c r="D4" s="16" t="inlineStr">
        <is>
          <t>205円</t>
        </is>
      </c>
      <c r="E4" s="16" t="inlineStr">
        <is>
          <t>約6.8%</t>
        </is>
      </c>
      <c r="F4" s="16" t="inlineStr">
        <is>
          <t>LINE・Google 経由でも同手数料(2022-08)</t>
        </is>
      </c>
    </row>
    <row r="5">
      <c r="A5" s="16" t="inlineStr">
        <is>
          <t>ぐるなび台帳 ライト/ベーシック</t>
        </is>
      </c>
      <c r="B5" s="16" t="inlineStr">
        <is>
          <t>11,000円/33,000円</t>
        </is>
      </c>
      <c r="C5" s="16" t="inlineStr">
        <is>
          <t>11円〜</t>
        </is>
      </c>
      <c r="D5" s="16" t="inlineStr">
        <is>
          <t>55円〜</t>
        </is>
      </c>
      <c r="E5" s="16" t="inlineStr">
        <is>
          <t>—</t>
        </is>
      </c>
      <c r="F5" s="16" t="inlineStr">
        <is>
          <t>有料で人数単価が下がる。日付不明の比較サイト記載</t>
        </is>
      </c>
    </row>
    <row r="6">
      <c r="A6" s="16" t="inlineStr">
        <is>
          <t>一休.com レストラン</t>
        </is>
      </c>
      <c r="B6" s="16" t="inlineStr">
        <is>
          <t>0円</t>
        </is>
      </c>
      <c r="C6" s="16" t="inlineStr">
        <is>
          <t>売上プラン価格の8%</t>
        </is>
      </c>
      <c r="D6" s="16" t="inlineStr">
        <is>
          <t>同左</t>
        </is>
      </c>
      <c r="E6" s="16" t="inlineStr">
        <is>
          <t>—</t>
        </is>
      </c>
      <c r="F6" s="16" t="inlineStr">
        <is>
          <t>2022-08 の整理</t>
        </is>
      </c>
    </row>
    <row r="7">
      <c r="A7" s="16" t="inlineStr">
        <is>
          <t>ヒトサラ・Retty</t>
        </is>
      </c>
      <c r="B7" s="16" t="inlineStr">
        <is>
          <t>掲載無料あり</t>
        </is>
      </c>
      <c r="C7" s="16" t="inlineStr">
        <is>
          <t>不明</t>
        </is>
      </c>
      <c r="D7" s="16" t="inlineStr">
        <is>
          <t>不明</t>
        </is>
      </c>
      <c r="E7" s="16" t="inlineStr">
        <is>
          <t>—</t>
        </is>
      </c>
      <c r="F7" s="16" t="inlineStr">
        <is>
          <t>ヒトサラの有料は過去に初期6万円+月1〜3万円(2018〜2019年)</t>
        </is>
      </c>
    </row>
  </sheetData>
  <autoFilter ref="A1:F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54"/>
  <sheetViews>
    <sheetView showGridLines="1" workbookViewId="0">
      <pane xSplit="1" ySplit="2" topLeftCell="B3" activePane="bottomRight" state="frozen"/>
      <selection pane="topRight"/>
      <selection pane="bottomLeft"/>
      <selection pane="bottomRight" activeCell="A1" sqref="A1"/>
    </sheetView>
  </sheetViews>
  <sheetFormatPr baseColWidth="8" defaultRowHeight="15"/>
  <cols>
    <col width="30"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s>
  <sheetData>
    <row r="1">
      <c r="A1" s="14" t="inlineStr">
        <is>
          <t>店舗向けサービスの機能比較(✅確認済み / △一部・有料 / ❌なし確認済み / ？未確認。？は非対応ではない)</t>
        </is>
      </c>
    </row>
    <row r="3">
      <c r="A3" s="18" t="inlineStr">
        <is>
          <t>予約台帳・顧客管理:国内</t>
        </is>
      </c>
      <c r="B3" s="19" t="n"/>
      <c r="C3" s="19" t="n"/>
      <c r="D3" s="19" t="n"/>
      <c r="E3" s="19" t="n"/>
      <c r="F3" s="19" t="n"/>
      <c r="G3" s="19" t="n"/>
    </row>
    <row r="4">
      <c r="A4" s="10" t="inlineStr">
        <is>
          <t>機能</t>
        </is>
      </c>
      <c r="B4" s="10" t="inlineStr">
        <is>
          <t>TableCheck</t>
        </is>
      </c>
      <c r="C4" s="10" t="inlineStr">
        <is>
          <t>トレタ</t>
        </is>
      </c>
      <c r="D4" s="10" t="inlineStr">
        <is>
          <t>ebica</t>
        </is>
      </c>
      <c r="E4" s="10" t="inlineStr">
        <is>
          <t>OMAKASE</t>
        </is>
      </c>
      <c r="F4" s="10" t="inlineStr">
        <is>
          <t>Airリザーブ</t>
        </is>
      </c>
      <c r="G4" s="10" t="inlineStr">
        <is>
          <t>ぐるなび台帳</t>
        </is>
      </c>
    </row>
    <row r="5">
      <c r="A5" s="16" t="inlineStr">
        <is>
          <t>台帳・卓管理</t>
        </is>
      </c>
      <c r="B5" s="16" t="inlineStr">
        <is>
          <t>✅</t>
        </is>
      </c>
      <c r="C5" s="16" t="inlineStr">
        <is>
          <t>✅</t>
        </is>
      </c>
      <c r="D5" s="16" t="inlineStr">
        <is>
          <t>✅</t>
        </is>
      </c>
      <c r="E5" s="16" t="inlineStr">
        <is>
          <t>△</t>
        </is>
      </c>
      <c r="F5" s="16" t="inlineStr">
        <is>
          <t>✅(卓は？)</t>
        </is>
      </c>
      <c r="G5" s="16" t="inlineStr">
        <is>
          <t>✅</t>
        </is>
      </c>
    </row>
    <row r="6">
      <c r="A6" s="16" t="inlineStr">
        <is>
          <t>顧客プロファイル/CRM</t>
        </is>
      </c>
      <c r="B6" s="16" t="inlineStr">
        <is>
          <t>✅(アレルギー・誕生日)</t>
        </is>
      </c>
      <c r="C6" s="16" t="inlineStr">
        <is>
          <t>✅(詳細？)</t>
        </is>
      </c>
      <c r="D6" s="16" t="inlineStr">
        <is>
          <t>✅(詳細？)</t>
        </is>
      </c>
      <c r="E6" s="16" t="inlineStr">
        <is>
          <t>？</t>
        </is>
      </c>
      <c r="F6" s="16" t="inlineStr">
        <is>
          <t>✅</t>
        </is>
      </c>
      <c r="G6" s="16" t="inlineStr">
        <is>
          <t>✅</t>
        </is>
      </c>
    </row>
    <row r="7">
      <c r="A7" s="16" t="inlineStr">
        <is>
          <t>no-show 対策</t>
        </is>
      </c>
      <c r="B7" s="16" t="inlineStr">
        <is>
          <t>✅(与信+事前決済)</t>
        </is>
      </c>
      <c r="C7" s="16" t="inlineStr">
        <is>
          <t>✅(与信+Payn)</t>
        </is>
      </c>
      <c r="D7" s="16" t="inlineStr">
        <is>
          <t>△(Payn 連携)</t>
        </is>
      </c>
      <c r="E7" s="16" t="inlineStr">
        <is>
          <t>△(利用者向け保険[要約])</t>
        </is>
      </c>
      <c r="F7" s="16" t="inlineStr">
        <is>
          <t>△(オンライン決済のみ)</t>
        </is>
      </c>
      <c r="G7" s="16" t="inlineStr">
        <is>
          <t>？</t>
        </is>
      </c>
    </row>
    <row r="8">
      <c r="A8" s="16" t="inlineStr">
        <is>
          <t>コース事前選択</t>
        </is>
      </c>
      <c r="B8" s="16" t="inlineStr">
        <is>
          <t>△(メニュー単位の設定)</t>
        </is>
      </c>
      <c r="C8" s="16" t="inlineStr">
        <is>
          <t>✅(出し分け)</t>
        </is>
      </c>
      <c r="D8" s="16" t="inlineStr">
        <is>
          <t>？</t>
        </is>
      </c>
      <c r="E8" s="16" t="inlineStr">
        <is>
          <t>？</t>
        </is>
      </c>
      <c r="F8" s="16" t="inlineStr">
        <is>
          <t>？</t>
        </is>
      </c>
      <c r="G8" s="16" t="inlineStr">
        <is>
          <t>△(プラン差、不一致)</t>
        </is>
      </c>
    </row>
    <row r="9">
      <c r="A9" s="16" t="inlineStr">
        <is>
          <t>グループ/宴会/貸切</t>
        </is>
      </c>
      <c r="B9" s="16" t="inlineStr">
        <is>
          <t>△(団体向けポリシー)</t>
        </is>
      </c>
      <c r="C9" s="16" t="inlineStr">
        <is>
          <t>？</t>
        </is>
      </c>
      <c r="D9" s="16" t="inlineStr">
        <is>
          <t>？</t>
        </is>
      </c>
      <c r="E9" s="16" t="inlineStr">
        <is>
          <t>？</t>
        </is>
      </c>
      <c r="F9" s="16" t="inlineStr">
        <is>
          <t>？</t>
        </is>
      </c>
      <c r="G9" s="16" t="inlineStr">
        <is>
          <t>？</t>
        </is>
      </c>
    </row>
    <row r="10">
      <c r="A10" s="16" t="inlineStr">
        <is>
          <t>リマインド・配信</t>
        </is>
      </c>
      <c r="B10" s="16" t="inlineStr">
        <is>
          <t>✅(メール/SMS。配信は外部連携)</t>
        </is>
      </c>
      <c r="C10" s="16" t="inlineStr">
        <is>
          <t>？</t>
        </is>
      </c>
      <c r="D10" s="16" t="inlineStr">
        <is>
          <t>？</t>
        </is>
      </c>
      <c r="E10" s="16" t="inlineStr">
        <is>
          <t>？</t>
        </is>
      </c>
      <c r="F10" s="16" t="inlineStr">
        <is>
          <t>△(メール)</t>
        </is>
      </c>
      <c r="G10" s="16" t="inlineStr">
        <is>
          <t>？</t>
        </is>
      </c>
    </row>
    <row r="11">
      <c r="A11" s="16" t="inlineStr">
        <is>
          <t>アンケート/口コミ導線</t>
        </is>
      </c>
      <c r="B11" s="16" t="inlineStr">
        <is>
          <t>？</t>
        </is>
      </c>
      <c r="C11" s="16" t="inlineStr">
        <is>
          <t>？</t>
        </is>
      </c>
      <c r="D11" s="16" t="inlineStr">
        <is>
          <t>？</t>
        </is>
      </c>
      <c r="E11" s="16" t="inlineStr">
        <is>
          <t>？</t>
        </is>
      </c>
      <c r="F11" s="16" t="inlineStr">
        <is>
          <t>△(予約時アンケート)</t>
        </is>
      </c>
      <c r="G11" s="16" t="inlineStr">
        <is>
          <t>？</t>
        </is>
      </c>
    </row>
    <row r="12">
      <c r="A12" s="16" t="inlineStr">
        <is>
          <t>公開 API</t>
        </is>
      </c>
      <c r="B12" s="16" t="inlineStr">
        <is>
          <t>？</t>
        </is>
      </c>
      <c r="C12" s="16" t="inlineStr">
        <is>
          <t>？(パートナー連携)</t>
        </is>
      </c>
      <c r="D12" s="16" t="inlineStr">
        <is>
          <t>？(パートナー連携)</t>
        </is>
      </c>
      <c r="E12" s="16" t="inlineStr">
        <is>
          <t>？</t>
        </is>
      </c>
      <c r="F12" s="16" t="inlineStr">
        <is>
          <t>？</t>
        </is>
      </c>
      <c r="G12" s="16" t="inlineStr">
        <is>
          <t>？</t>
        </is>
      </c>
    </row>
    <row r="13">
      <c r="A13" s="16" t="inlineStr">
        <is>
          <t>POS 連携</t>
        </is>
      </c>
      <c r="B13" s="16" t="inlineStr">
        <is>
          <t>✅(13社以上)</t>
        </is>
      </c>
      <c r="C13" s="16" t="inlineStr">
        <is>
          <t>✅</t>
        </is>
      </c>
      <c r="D13" s="16" t="inlineStr">
        <is>
          <t>✅</t>
        </is>
      </c>
      <c r="E13" s="16" t="inlineStr">
        <is>
          <t>？</t>
        </is>
      </c>
      <c r="F13" s="16" t="inlineStr">
        <is>
          <t>△</t>
        </is>
      </c>
      <c r="G13" s="16" t="inlineStr">
        <is>
          <t>✅</t>
        </is>
      </c>
    </row>
    <row r="14">
      <c r="A14" s="16" t="inlineStr">
        <is>
          <t>グルメサイト/Google/Instagram/LINE</t>
        </is>
      </c>
      <c r="B14" s="16" t="inlineStr">
        <is>
          <t>✅(25サイト+Google+IG+LINE)</t>
        </is>
      </c>
      <c r="C14" s="16" t="inlineStr">
        <is>
          <t>✅(LINE は計画)</t>
        </is>
      </c>
      <c r="D14" s="16" t="inlineStr">
        <is>
          <t>✅(コントローラー+Google+LINE)</t>
        </is>
      </c>
      <c r="E14" s="16" t="inlineStr">
        <is>
          <t>自体が予約サイト</t>
        </is>
      </c>
      <c r="F14" s="16" t="inlineStr">
        <is>
          <t>？</t>
        </is>
      </c>
      <c r="G14" s="16" t="inlineStr">
        <is>
          <t>✅(他社予約の取込)</t>
        </is>
      </c>
    </row>
    <row r="15">
      <c r="A15" s="16" t="inlineStr">
        <is>
          <t>無料プラン</t>
        </is>
      </c>
      <c r="B15" s="16" t="inlineStr">
        <is>
          <t>？</t>
        </is>
      </c>
      <c r="C15" s="16" t="inlineStr">
        <is>
          <t>？</t>
        </is>
      </c>
      <c r="D15" s="16" t="inlineStr">
        <is>
          <t>？</t>
        </is>
      </c>
      <c r="E15" s="16" t="inlineStr">
        <is>
          <t>？</t>
        </is>
      </c>
      <c r="F15" s="16" t="inlineStr">
        <is>
          <t>✅</t>
        </is>
      </c>
      <c r="G15" s="16" t="inlineStr">
        <is>
          <t>△(スタート0円+人数手数料)</t>
        </is>
      </c>
    </row>
    <row r="16">
      <c r="A16" s="16" t="inlineStr">
        <is>
          <t>人数課金なしの主張</t>
        </is>
      </c>
      <c r="B16" s="16" t="inlineStr">
        <is>
          <t>✅(自社 Web 予約)</t>
        </is>
      </c>
      <c r="C16" s="16" t="inlineStr">
        <is>
          <t>？</t>
        </is>
      </c>
      <c r="D16" s="16" t="inlineStr">
        <is>
          <t>？</t>
        </is>
      </c>
      <c r="E16" s="16" t="inlineStr">
        <is>
          <t>❌(利用者から390円)</t>
        </is>
      </c>
      <c r="F16" s="16" t="inlineStr">
        <is>
          <t>✅</t>
        </is>
      </c>
      <c r="G16" s="16" t="inlineStr">
        <is>
          <t>△</t>
        </is>
      </c>
    </row>
    <row r="18">
      <c r="A18" s="18" t="inlineStr">
        <is>
          <t>予約台帳・顧客管理:海外</t>
        </is>
      </c>
      <c r="B18" s="19" t="n"/>
      <c r="C18" s="19" t="n"/>
      <c r="D18" s="19" t="n"/>
      <c r="E18" s="19" t="n"/>
      <c r="F18" s="19" t="n"/>
      <c r="G18" s="19" t="n"/>
      <c r="H18" s="19" t="n"/>
    </row>
    <row r="19">
      <c r="A19" s="10" t="inlineStr">
        <is>
          <t>機能</t>
        </is>
      </c>
      <c r="B19" s="10" t="inlineStr">
        <is>
          <t>SevenRooms</t>
        </is>
      </c>
      <c r="C19" s="10" t="inlineStr">
        <is>
          <t>OpenTable</t>
        </is>
      </c>
      <c r="D19" s="10" t="inlineStr">
        <is>
          <t>Resy/Tock</t>
        </is>
      </c>
      <c r="E19" s="10" t="inlineStr">
        <is>
          <t>Toast Tables</t>
        </is>
      </c>
      <c r="F19" s="10" t="inlineStr">
        <is>
          <t>Yelp GM</t>
        </is>
      </c>
      <c r="G19" s="10" t="inlineStr">
        <is>
          <t>Eat App</t>
        </is>
      </c>
      <c r="H19" s="10" t="inlineStr">
        <is>
          <t>resos</t>
        </is>
      </c>
    </row>
    <row r="20">
      <c r="A20" s="16" t="inlineStr">
        <is>
          <t>台帳・卓管理</t>
        </is>
      </c>
      <c r="B20" s="16" t="inlineStr">
        <is>
          <t>✅</t>
        </is>
      </c>
      <c r="C20" s="16" t="inlineStr">
        <is>
          <t>✅</t>
        </is>
      </c>
      <c r="D20" s="16" t="inlineStr">
        <is>
          <t>✅</t>
        </is>
      </c>
      <c r="E20" s="16" t="inlineStr">
        <is>
          <t>✅</t>
        </is>
      </c>
      <c r="F20" s="16" t="inlineStr">
        <is>
          <t>✅</t>
        </is>
      </c>
      <c r="G20" s="16" t="inlineStr">
        <is>
          <t>✅</t>
        </is>
      </c>
      <c r="H20" s="16" t="inlineStr">
        <is>
          <t>✅</t>
        </is>
      </c>
    </row>
    <row r="21">
      <c r="A21" s="16" t="inlineStr">
        <is>
          <t>CRM</t>
        </is>
      </c>
      <c r="B21" s="16" t="inlineStr">
        <is>
          <t>✅</t>
        </is>
      </c>
      <c r="C21" s="16" t="inlineStr">
        <is>
          <t>？</t>
        </is>
      </c>
      <c r="D21" s="16" t="inlineStr">
        <is>
          <t>△(競合記載)</t>
        </is>
      </c>
      <c r="E21" s="16" t="inlineStr">
        <is>
          <t>△</t>
        </is>
      </c>
      <c r="F21" s="16" t="inlineStr">
        <is>
          <t>△(Basic なし)</t>
        </is>
      </c>
      <c r="G21" s="16" t="inlineStr">
        <is>
          <t>✅</t>
        </is>
      </c>
      <c r="H21" s="16" t="inlineStr">
        <is>
          <t>？</t>
        </is>
      </c>
    </row>
    <row r="22">
      <c r="A22" s="16" t="inlineStr">
        <is>
          <t>no-show 対策</t>
        </is>
      </c>
      <c r="B22" s="16" t="inlineStr">
        <is>
          <t>？</t>
        </is>
      </c>
      <c r="C22" s="16" t="inlineStr">
        <is>
          <t>✅(カード必須+違約金)</t>
        </is>
      </c>
      <c r="D22" s="16" t="inlineStr">
        <is>
          <t>△(Tock は前払い)</t>
        </is>
      </c>
      <c r="E22" s="16" t="inlineStr">
        <is>
          <t>？</t>
        </is>
      </c>
      <c r="F22" s="16" t="inlineStr">
        <is>
          <t>？</t>
        </is>
      </c>
      <c r="G22" s="16" t="inlineStr">
        <is>
          <t>△(アドオン)</t>
        </is>
      </c>
      <c r="H22" s="16" t="inlineStr">
        <is>
          <t>△(アドオン)</t>
        </is>
      </c>
    </row>
    <row r="23">
      <c r="A23" s="16" t="inlineStr">
        <is>
          <t>グループ/貸切</t>
        </is>
      </c>
      <c r="B23" s="16" t="inlineStr">
        <is>
          <t>△(Group Portal アドオン)</t>
        </is>
      </c>
      <c r="C23" s="16" t="inlineStr">
        <is>
          <t>？</t>
        </is>
      </c>
      <c r="D23" s="16" t="inlineStr">
        <is>
          <t>？</t>
        </is>
      </c>
      <c r="E23" s="16" t="inlineStr">
        <is>
          <t>？</t>
        </is>
      </c>
      <c r="F23" s="16" t="inlineStr">
        <is>
          <t>？</t>
        </is>
      </c>
      <c r="G23" s="16" t="inlineStr">
        <is>
          <t>？</t>
        </is>
      </c>
      <c r="H23" s="16" t="inlineStr">
        <is>
          <t>？</t>
        </is>
      </c>
    </row>
    <row r="24">
      <c r="A24" s="16" t="inlineStr">
        <is>
          <t>リマインド・配信</t>
        </is>
      </c>
      <c r="B24" s="16" t="inlineStr">
        <is>
          <t>✅(一部アドオン)</t>
        </is>
      </c>
      <c r="C24" s="16" t="inlineStr">
        <is>
          <t>✅(SMS 3回の運用例)</t>
        </is>
      </c>
      <c r="D24" s="16" t="inlineStr">
        <is>
          <t>？</t>
        </is>
      </c>
      <c r="E24" s="16" t="inlineStr">
        <is>
          <t>△</t>
        </is>
      </c>
      <c r="F24" s="16" t="inlineStr">
        <is>
          <t>？</t>
        </is>
      </c>
      <c r="G24" s="16" t="inlineStr">
        <is>
          <t>△(アドオン)</t>
        </is>
      </c>
      <c r="H24" s="16" t="inlineStr">
        <is>
          <t>△(SMS €0.10)</t>
        </is>
      </c>
    </row>
    <row r="25">
      <c r="A25" s="16" t="inlineStr">
        <is>
          <t>公開 API</t>
        </is>
      </c>
      <c r="B25" s="16" t="inlineStr">
        <is>
          <t>△(有料アドオン)</t>
        </is>
      </c>
      <c r="C25" s="16" t="inlineStr">
        <is>
          <t>？</t>
        </is>
      </c>
      <c r="D25" s="16" t="inlineStr">
        <is>
          <t>？</t>
        </is>
      </c>
      <c r="E25" s="16" t="inlineStr">
        <is>
          <t>？</t>
        </is>
      </c>
      <c r="F25" s="16" t="inlineStr">
        <is>
          <t>？</t>
        </is>
      </c>
      <c r="G25" s="16" t="inlineStr">
        <is>
          <t>？</t>
        </is>
      </c>
      <c r="H25" s="16" t="inlineStr">
        <is>
          <t>△(アドオン)</t>
        </is>
      </c>
    </row>
    <row r="26">
      <c r="A26" s="16" t="inlineStr">
        <is>
          <t>POS 連携</t>
        </is>
      </c>
      <c r="B26" s="16" t="inlineStr">
        <is>
          <t>✅(100+は自社主張)</t>
        </is>
      </c>
      <c r="C26" s="16" t="inlineStr">
        <is>
          <t>△(Core/Pro)</t>
        </is>
      </c>
      <c r="D26" s="16" t="inlineStr">
        <is>
          <t>△(Platform 以上)</t>
        </is>
      </c>
      <c r="E26" s="16" t="inlineStr">
        <is>
          <t>✅(Toast 専用)</t>
        </is>
      </c>
      <c r="F26" s="16" t="inlineStr">
        <is>
          <t>△(Plus 以上)</t>
        </is>
      </c>
      <c r="G26" s="16" t="inlineStr">
        <is>
          <t>△</t>
        </is>
      </c>
      <c r="H26" s="16" t="inlineStr">
        <is>
          <t>？</t>
        </is>
      </c>
    </row>
    <row r="27">
      <c r="A27" s="16" t="inlineStr">
        <is>
          <t>無料プラン</t>
        </is>
      </c>
      <c r="B27" s="16" t="inlineStr">
        <is>
          <t>❌(見積)</t>
        </is>
      </c>
      <c r="C27" s="16" t="inlineStr">
        <is>
          <t>？</t>
        </is>
      </c>
      <c r="D27" s="16" t="inlineStr">
        <is>
          <t>？</t>
        </is>
      </c>
      <c r="E27" s="16" t="inlineStr">
        <is>
          <t>？</t>
        </is>
      </c>
      <c r="F27" s="16" t="inlineStr">
        <is>
          <t>△(Host 30日無料)</t>
        </is>
      </c>
      <c r="G27" s="16" t="inlineStr">
        <is>
          <t>✅</t>
        </is>
      </c>
      <c r="H27" s="16" t="inlineStr">
        <is>
          <t>✅</t>
        </is>
      </c>
    </row>
    <row r="28">
      <c r="A28" s="16" t="inlineStr">
        <is>
          <t>カバー課金なしの主張</t>
        </is>
      </c>
      <c r="B28" s="16" t="inlineStr">
        <is>
          <t>✅(自社)</t>
        </is>
      </c>
      <c r="C28" s="16" t="inlineStr">
        <is>
          <t>❌(ネットワーク)</t>
        </is>
      </c>
      <c r="D28" s="16" t="inlineStr">
        <is>
          <t>△(Resy なし、Tock は競合が課金と記載)</t>
        </is>
      </c>
      <c r="E28" s="16" t="inlineStr">
        <is>
          <t>✅(競合記載)</t>
        </is>
      </c>
      <c r="F28" s="16" t="inlineStr">
        <is>
          <t>✅(自社)</t>
        </is>
      </c>
      <c r="G28" s="16" t="inlineStr">
        <is>
          <t>✅(自社)</t>
        </is>
      </c>
      <c r="H28" s="16" t="inlineStr">
        <is>
          <t>✅(自社)</t>
        </is>
      </c>
    </row>
    <row r="30">
      <c r="A30" s="18" t="inlineStr">
        <is>
          <t>イベント・貸切:海外</t>
        </is>
      </c>
      <c r="B30" s="19" t="n"/>
      <c r="C30" s="19" t="n"/>
      <c r="D30" s="19" t="n"/>
      <c r="E30" s="19" t="n"/>
      <c r="F30" s="19" t="n"/>
      <c r="G30" s="19" t="n"/>
      <c r="H30" s="19" t="n"/>
    </row>
    <row r="31">
      <c r="A31" s="10" t="inlineStr">
        <is>
          <t>機能</t>
        </is>
      </c>
      <c r="B31" s="10" t="inlineStr">
        <is>
          <t>Tock</t>
        </is>
      </c>
      <c r="C31" s="10" t="inlineStr">
        <is>
          <t>SevenRooms</t>
        </is>
      </c>
      <c r="D31" s="10" t="inlineStr">
        <is>
          <t>Resy</t>
        </is>
      </c>
      <c r="E31" s="10" t="inlineStr">
        <is>
          <t>OpenTable</t>
        </is>
      </c>
      <c r="F31" s="10" t="inlineStr">
        <is>
          <t>Tripleseat</t>
        </is>
      </c>
      <c r="G31" s="10" t="inlineStr">
        <is>
          <t>Perfect Venue</t>
        </is>
      </c>
      <c r="H31" s="10" t="inlineStr">
        <is>
          <t>Eventbrite</t>
        </is>
      </c>
    </row>
    <row r="32">
      <c r="A32" s="16" t="inlineStr">
        <is>
          <t>前払い/デポジット</t>
        </is>
      </c>
      <c r="B32" s="16" t="inlineStr">
        <is>
          <t>✅</t>
        </is>
      </c>
      <c r="C32" s="16" t="inlineStr">
        <is>
          <t>✅</t>
        </is>
      </c>
      <c r="D32" s="16" t="inlineStr">
        <is>
          <t>✅</t>
        </is>
      </c>
      <c r="E32" s="16" t="inlineStr">
        <is>
          <t>△</t>
        </is>
      </c>
      <c r="F32" s="16" t="inlineStr">
        <is>
          <t>△</t>
        </is>
      </c>
      <c r="G32" s="16" t="inlineStr">
        <is>
          <t>✅</t>
        </is>
      </c>
      <c r="H32" s="16" t="inlineStr">
        <is>
          <t>✅</t>
        </is>
      </c>
    </row>
    <row r="33">
      <c r="A33" s="16" t="inlineStr">
        <is>
          <t>体験・イベントのチケット</t>
        </is>
      </c>
      <c r="B33" s="16" t="inlineStr">
        <is>
          <t>✅</t>
        </is>
      </c>
      <c r="C33" s="16" t="inlineStr">
        <is>
          <t>✅</t>
        </is>
      </c>
      <c r="D33" s="16" t="inlineStr">
        <is>
          <t>✅</t>
        </is>
      </c>
      <c r="E33" s="16" t="inlineStr">
        <is>
          <t>△</t>
        </is>
      </c>
      <c r="F33" s="16" t="inlineStr">
        <is>
          <t>△(アドオン)</t>
        </is>
      </c>
      <c r="G33" s="16" t="inlineStr">
        <is>
          <t>？</t>
        </is>
      </c>
      <c r="H33" s="16" t="inlineStr">
        <is>
          <t>✅</t>
        </is>
      </c>
    </row>
    <row r="34">
      <c r="A34" s="16" t="inlineStr">
        <is>
          <t>席・卓割り</t>
        </is>
      </c>
      <c r="B34" s="16" t="inlineStr">
        <is>
          <t>△</t>
        </is>
      </c>
      <c r="C34" s="16" t="inlineStr">
        <is>
          <t>△</t>
        </is>
      </c>
      <c r="D34" s="16" t="inlineStr">
        <is>
          <t>✅</t>
        </is>
      </c>
      <c r="E34" s="16" t="inlineStr">
        <is>
          <t>？</t>
        </is>
      </c>
      <c r="F34" s="16" t="inlineStr">
        <is>
          <t>△(アドオン)</t>
        </is>
      </c>
      <c r="G34" s="16" t="inlineStr">
        <is>
          <t>？</t>
        </is>
      </c>
      <c r="H34" s="16" t="inlineStr">
        <is>
          <t>✅</t>
        </is>
      </c>
    </row>
    <row r="35">
      <c r="A35" s="16" t="inlineStr">
        <is>
          <t>メニュー選択・事前注文</t>
        </is>
      </c>
      <c r="B35" s="16" t="inlineStr">
        <is>
          <t>△</t>
        </is>
      </c>
      <c r="C35" s="16" t="inlineStr">
        <is>
          <t>✅</t>
        </is>
      </c>
      <c r="D35" s="16" t="inlineStr">
        <is>
          <t>△(アドオン)</t>
        </is>
      </c>
      <c r="E35" s="16" t="inlineStr">
        <is>
          <t>？</t>
        </is>
      </c>
      <c r="F35" s="16" t="inlineStr">
        <is>
          <t>？</t>
        </is>
      </c>
      <c r="G35" s="16" t="inlineStr">
        <is>
          <t>△(質問票)</t>
        </is>
      </c>
      <c r="H35" s="16" t="inlineStr">
        <is>
          <t>△</t>
        </is>
      </c>
    </row>
    <row r="36">
      <c r="A36" s="16" t="inlineStr">
        <is>
          <t>最小催行人数・不成立の返金</t>
        </is>
      </c>
      <c r="B36" s="16" t="inlineStr">
        <is>
          <t>？</t>
        </is>
      </c>
      <c r="C36" s="16" t="inlineStr">
        <is>
          <t>？</t>
        </is>
      </c>
      <c r="D36" s="16" t="inlineStr">
        <is>
          <t>？</t>
        </is>
      </c>
      <c r="E36" s="16" t="inlineStr">
        <is>
          <t>？</t>
        </is>
      </c>
      <c r="F36" s="16" t="inlineStr">
        <is>
          <t>？</t>
        </is>
      </c>
      <c r="G36" s="16" t="inlineStr">
        <is>
          <t>？</t>
        </is>
      </c>
      <c r="H36" s="16" t="inlineStr">
        <is>
          <t>？</t>
        </is>
      </c>
    </row>
    <row r="37">
      <c r="A37" s="16" t="inlineStr">
        <is>
          <t>キャンセルポリシー</t>
        </is>
      </c>
      <c r="B37" s="16" t="inlineStr">
        <is>
          <t>✅</t>
        </is>
      </c>
      <c r="C37" s="16" t="inlineStr">
        <is>
          <t>✅</t>
        </is>
      </c>
      <c r="D37" s="16" t="inlineStr">
        <is>
          <t>✅</t>
        </is>
      </c>
      <c r="E37" s="16" t="inlineStr">
        <is>
          <t>？</t>
        </is>
      </c>
      <c r="F37" s="16" t="inlineStr">
        <is>
          <t>？</t>
        </is>
      </c>
      <c r="G37" s="16" t="inlineStr">
        <is>
          <t>✅</t>
        </is>
      </c>
      <c r="H37" s="16" t="inlineStr">
        <is>
          <t>？</t>
        </is>
      </c>
    </row>
    <row r="38">
      <c r="A38" s="16" t="inlineStr">
        <is>
          <t>貸切の見積・提案書</t>
        </is>
      </c>
      <c r="B38" s="16" t="inlineStr">
        <is>
          <t>△(問い合わせ)</t>
        </is>
      </c>
      <c r="C38" s="16" t="inlineStr">
        <is>
          <t>△(提案書は？)</t>
        </is>
      </c>
      <c r="D38" s="16" t="inlineStr">
        <is>
          <t>△(非公開イベント)</t>
        </is>
      </c>
      <c r="E38" s="16" t="inlineStr">
        <is>
          <t>？</t>
        </is>
      </c>
      <c r="F38" s="16" t="inlineStr">
        <is>
          <t>✅</t>
        </is>
      </c>
      <c r="G38" s="16" t="inlineStr">
        <is>
          <t>✅</t>
        </is>
      </c>
      <c r="H38" s="16" t="inlineStr">
        <is>
          <t>？</t>
        </is>
      </c>
    </row>
    <row r="39">
      <c r="A39" s="16" t="inlineStr">
        <is>
          <t>集客(自社メール・顧客 DB)</t>
        </is>
      </c>
      <c r="B39" s="16" t="inlineStr">
        <is>
          <t>△</t>
        </is>
      </c>
      <c r="C39" s="16" t="inlineStr">
        <is>
          <t>✅</t>
        </is>
      </c>
      <c r="D39" s="16" t="inlineStr">
        <is>
          <t>✅</t>
        </is>
      </c>
      <c r="E39" s="16" t="inlineStr">
        <is>
          <t>？</t>
        </is>
      </c>
      <c r="F39" s="16" t="inlineStr">
        <is>
          <t>△</t>
        </is>
      </c>
      <c r="G39" s="16" t="inlineStr">
        <is>
          <t>△</t>
        </is>
      </c>
      <c r="H39" s="16" t="inlineStr">
        <is>
          <t>△</t>
        </is>
      </c>
    </row>
    <row r="40">
      <c r="A40" s="16" t="inlineStr">
        <is>
          <t>集客(マーケットプレイス)</t>
        </is>
      </c>
      <c r="B40" s="16" t="inlineStr">
        <is>
          <t>✅(統合後は Resy)</t>
        </is>
      </c>
      <c r="C40" s="16" t="inlineStr">
        <is>
          <t>△</t>
        </is>
      </c>
      <c r="D40" s="16" t="inlineStr">
        <is>
          <t>✅</t>
        </is>
      </c>
      <c r="E40" s="16" t="inlineStr">
        <is>
          <t>？</t>
        </is>
      </c>
      <c r="F40" s="16" t="inlineStr">
        <is>
          <t>△</t>
        </is>
      </c>
      <c r="G40" s="16" t="inlineStr">
        <is>
          <t>？</t>
        </is>
      </c>
      <c r="H40" s="16" t="inlineStr">
        <is>
          <t>△</t>
        </is>
      </c>
    </row>
    <row r="41">
      <c r="A41" s="16" t="inlineStr">
        <is>
          <t>イベント後フォロー</t>
        </is>
      </c>
      <c r="B41" s="16" t="inlineStr">
        <is>
          <t>？</t>
        </is>
      </c>
      <c r="C41" s="16" t="inlineStr">
        <is>
          <t>△</t>
        </is>
      </c>
      <c r="D41" s="16" t="inlineStr">
        <is>
          <t>？</t>
        </is>
      </c>
      <c r="E41" s="16" t="inlineStr">
        <is>
          <t>？</t>
        </is>
      </c>
      <c r="F41" s="16" t="inlineStr">
        <is>
          <t>？</t>
        </is>
      </c>
      <c r="G41" s="16" t="inlineStr">
        <is>
          <t>△</t>
        </is>
      </c>
      <c r="H41" s="16" t="inlineStr">
        <is>
          <t>△</t>
        </is>
      </c>
    </row>
    <row r="43">
      <c r="A43" s="18" t="inlineStr">
        <is>
          <t>イベント・貸切:日本</t>
        </is>
      </c>
      <c r="B43" s="19" t="n"/>
      <c r="C43" s="19" t="n"/>
      <c r="D43" s="19" t="n"/>
      <c r="E43" s="19" t="n"/>
      <c r="F43" s="19" t="n"/>
      <c r="G43" s="19" t="n"/>
      <c r="H43" s="19" t="n"/>
      <c r="I43" s="19" t="n"/>
    </row>
    <row r="44">
      <c r="A44" s="10" t="inlineStr">
        <is>
          <t>機能</t>
        </is>
      </c>
      <c r="B44" s="10" t="inlineStr">
        <is>
          <t>ぐるなび台帳</t>
        </is>
      </c>
      <c r="C44" s="10" t="inlineStr">
        <is>
          <t>ホットペッパー</t>
        </is>
      </c>
      <c r="D44" s="10" t="inlineStr">
        <is>
          <t>食べログ</t>
        </is>
      </c>
      <c r="E44" s="10" t="inlineStr">
        <is>
          <t>ヒトサラ</t>
        </is>
      </c>
      <c r="F44" s="10" t="inlineStr">
        <is>
          <t>一休.com</t>
        </is>
      </c>
      <c r="G44" s="10" t="inlineStr">
        <is>
          <t>TableCheck</t>
        </is>
      </c>
      <c r="H44" s="10" t="inlineStr">
        <is>
          <t>Peatix</t>
        </is>
      </c>
      <c r="I44" s="10" t="inlineStr">
        <is>
          <t>ストアカ</t>
        </is>
      </c>
    </row>
    <row r="45">
      <c r="A45" s="16" t="inlineStr">
        <is>
          <t>前払い/デポジット</t>
        </is>
      </c>
      <c r="B45" s="16" t="inlineStr">
        <is>
          <t>？</t>
        </is>
      </c>
      <c r="C45" s="16" t="inlineStr">
        <is>
          <t>？</t>
        </is>
      </c>
      <c r="D45" s="16" t="inlineStr">
        <is>
          <t>？</t>
        </is>
      </c>
      <c r="E45" s="16" t="inlineStr">
        <is>
          <t>？</t>
        </is>
      </c>
      <c r="F45" s="16" t="inlineStr">
        <is>
          <t>？</t>
        </is>
      </c>
      <c r="G45" s="16" t="inlineStr">
        <is>
          <t>✅</t>
        </is>
      </c>
      <c r="H45" s="16" t="inlineStr">
        <is>
          <t>✅</t>
        </is>
      </c>
      <c r="I45" s="16" t="inlineStr">
        <is>
          <t>✅</t>
        </is>
      </c>
    </row>
    <row r="46">
      <c r="A46" s="16" t="inlineStr">
        <is>
          <t>体験・イベントのチケット</t>
        </is>
      </c>
      <c r="B46" s="16" t="inlineStr">
        <is>
          <t>？</t>
        </is>
      </c>
      <c r="C46" s="16" t="inlineStr">
        <is>
          <t>？</t>
        </is>
      </c>
      <c r="D46" s="16" t="inlineStr">
        <is>
          <t>？</t>
        </is>
      </c>
      <c r="E46" s="16" t="inlineStr">
        <is>
          <t>？</t>
        </is>
      </c>
      <c r="F46" s="16" t="inlineStr">
        <is>
          <t>？</t>
        </is>
      </c>
      <c r="G46" s="16" t="inlineStr">
        <is>
          <t>△(バウチャー、配席)</t>
        </is>
      </c>
      <c r="H46" s="16" t="inlineStr">
        <is>
          <t>✅</t>
        </is>
      </c>
      <c r="I46" s="16" t="inlineStr">
        <is>
          <t>✅(講座)</t>
        </is>
      </c>
    </row>
    <row r="47">
      <c r="A47" s="16" t="inlineStr">
        <is>
          <t>席・卓割り</t>
        </is>
      </c>
      <c r="B47" s="16" t="inlineStr">
        <is>
          <t>△(台帳)</t>
        </is>
      </c>
      <c r="C47" s="16" t="inlineStr">
        <is>
          <t>？</t>
        </is>
      </c>
      <c r="D47" s="16" t="inlineStr">
        <is>
          <t>？</t>
        </is>
      </c>
      <c r="E47" s="16" t="inlineStr">
        <is>
          <t>？</t>
        </is>
      </c>
      <c r="F47" s="16" t="inlineStr">
        <is>
          <t>？</t>
        </is>
      </c>
      <c r="G47" s="16" t="inlineStr">
        <is>
          <t>✅</t>
        </is>
      </c>
      <c r="H47" s="16" t="inlineStr">
        <is>
          <t>？</t>
        </is>
      </c>
      <c r="I47" s="16" t="inlineStr">
        <is>
          <t>？</t>
        </is>
      </c>
    </row>
    <row r="48">
      <c r="A48" s="16" t="inlineStr">
        <is>
          <t>メニュー選択・事前注文</t>
        </is>
      </c>
      <c r="B48" s="16" t="inlineStr">
        <is>
          <t>△(不一致)</t>
        </is>
      </c>
      <c r="C48" s="16" t="inlineStr">
        <is>
          <t>？</t>
        </is>
      </c>
      <c r="D48" s="16" t="inlineStr">
        <is>
          <t>？</t>
        </is>
      </c>
      <c r="E48" s="16" t="inlineStr">
        <is>
          <t>？</t>
        </is>
      </c>
      <c r="F48" s="16" t="inlineStr">
        <is>
          <t>？</t>
        </is>
      </c>
      <c r="G48" s="16" t="inlineStr">
        <is>
          <t>？</t>
        </is>
      </c>
      <c r="H48" s="16" t="inlineStr">
        <is>
          <t>△</t>
        </is>
      </c>
      <c r="I48" s="16" t="inlineStr">
        <is>
          <t>？</t>
        </is>
      </c>
    </row>
    <row r="49">
      <c r="A49" s="16" t="inlineStr">
        <is>
          <t>最小催行人数・不成立の返金</t>
        </is>
      </c>
      <c r="B49" s="16" t="inlineStr">
        <is>
          <t>？</t>
        </is>
      </c>
      <c r="C49" s="16" t="inlineStr">
        <is>
          <t>？</t>
        </is>
      </c>
      <c r="D49" s="16" t="inlineStr">
        <is>
          <t>？</t>
        </is>
      </c>
      <c r="E49" s="16" t="inlineStr">
        <is>
          <t>？</t>
        </is>
      </c>
      <c r="F49" s="16" t="inlineStr">
        <is>
          <t>？</t>
        </is>
      </c>
      <c r="G49" s="16" t="inlineStr">
        <is>
          <t>？</t>
        </is>
      </c>
      <c r="H49" s="16" t="inlineStr">
        <is>
          <t>？</t>
        </is>
      </c>
      <c r="I49" s="16" t="inlineStr">
        <is>
          <t>？</t>
        </is>
      </c>
    </row>
    <row r="50">
      <c r="A50" s="16" t="inlineStr">
        <is>
          <t>キャンセルポリシー</t>
        </is>
      </c>
      <c r="B50" s="16" t="inlineStr">
        <is>
          <t>？</t>
        </is>
      </c>
      <c r="C50" s="16" t="inlineStr">
        <is>
          <t>△(無課金)</t>
        </is>
      </c>
      <c r="D50" s="16" t="inlineStr">
        <is>
          <t>✅(請求依頼)</t>
        </is>
      </c>
      <c r="E50" s="16" t="inlineStr">
        <is>
          <t>？</t>
        </is>
      </c>
      <c r="F50" s="16" t="inlineStr">
        <is>
          <t>？</t>
        </is>
      </c>
      <c r="G50" s="16" t="inlineStr">
        <is>
          <t>✅</t>
        </is>
      </c>
      <c r="H50" s="16" t="inlineStr">
        <is>
          <t>△</t>
        </is>
      </c>
      <c r="I50" s="16" t="inlineStr">
        <is>
          <t>△</t>
        </is>
      </c>
    </row>
    <row r="51">
      <c r="A51" s="16" t="inlineStr">
        <is>
          <t>貸切の見積・提案書</t>
        </is>
      </c>
      <c r="B51" s="16" t="inlineStr">
        <is>
          <t>？</t>
        </is>
      </c>
      <c r="C51" s="16" t="inlineStr">
        <is>
          <t>？</t>
        </is>
      </c>
      <c r="D51" s="16" t="inlineStr">
        <is>
          <t>？</t>
        </is>
      </c>
      <c r="E51" s="16" t="inlineStr">
        <is>
          <t>？</t>
        </is>
      </c>
      <c r="F51" s="16" t="inlineStr">
        <is>
          <t>？</t>
        </is>
      </c>
      <c r="G51" s="16" t="inlineStr">
        <is>
          <t>？</t>
        </is>
      </c>
      <c r="H51" s="16" t="inlineStr">
        <is>
          <t>？</t>
        </is>
      </c>
      <c r="I51" s="16" t="inlineStr">
        <is>
          <t>？</t>
        </is>
      </c>
    </row>
    <row r="52">
      <c r="A52" s="16" t="inlineStr">
        <is>
          <t>集客(自社メール・顧客 DB)</t>
        </is>
      </c>
      <c r="B52" s="16" t="inlineStr">
        <is>
          <t>✅</t>
        </is>
      </c>
      <c r="C52" s="16" t="inlineStr">
        <is>
          <t>？</t>
        </is>
      </c>
      <c r="D52" s="16" t="inlineStr">
        <is>
          <t>？</t>
        </is>
      </c>
      <c r="E52" s="16" t="inlineStr">
        <is>
          <t>？</t>
        </is>
      </c>
      <c r="F52" s="16" t="inlineStr">
        <is>
          <t>？</t>
        </is>
      </c>
      <c r="G52" s="16" t="inlineStr">
        <is>
          <t>✅</t>
        </is>
      </c>
      <c r="H52" s="16" t="inlineStr">
        <is>
          <t>✅(過去参加者)</t>
        </is>
      </c>
      <c r="I52" s="16" t="inlineStr">
        <is>
          <t>△(クーポン)</t>
        </is>
      </c>
    </row>
    <row r="53">
      <c r="A53" s="16" t="inlineStr">
        <is>
          <t>集客(マーケットプレイス)</t>
        </is>
      </c>
      <c r="B53" s="16" t="inlineStr">
        <is>
          <t>✅</t>
        </is>
      </c>
      <c r="C53" s="16" t="inlineStr">
        <is>
          <t>✅</t>
        </is>
      </c>
      <c r="D53" s="16" t="inlineStr">
        <is>
          <t>✅</t>
        </is>
      </c>
      <c r="E53" s="16" t="inlineStr">
        <is>
          <t>✅</t>
        </is>
      </c>
      <c r="F53" s="16" t="inlineStr">
        <is>
          <t>✅</t>
        </is>
      </c>
      <c r="G53" s="16" t="inlineStr">
        <is>
          <t>△(Channels・FastPass)</t>
        </is>
      </c>
      <c r="H53" s="16" t="inlineStr">
        <is>
          <t>✅</t>
        </is>
      </c>
      <c r="I53" s="16" t="inlineStr">
        <is>
          <t>✅</t>
        </is>
      </c>
    </row>
    <row r="54">
      <c r="A54" s="16" t="inlineStr">
        <is>
          <t>イベント後フォロー</t>
        </is>
      </c>
      <c r="B54" s="16" t="inlineStr">
        <is>
          <t>？</t>
        </is>
      </c>
      <c r="C54" s="16" t="inlineStr">
        <is>
          <t>？</t>
        </is>
      </c>
      <c r="D54" s="16" t="inlineStr">
        <is>
          <t>？</t>
        </is>
      </c>
      <c r="E54" s="16" t="inlineStr">
        <is>
          <t>？</t>
        </is>
      </c>
      <c r="F54" s="16" t="inlineStr">
        <is>
          <t>？</t>
        </is>
      </c>
      <c r="G54" s="16" t="inlineStr">
        <is>
          <t>？</t>
        </is>
      </c>
      <c r="H54" s="16" t="inlineStr">
        <is>
          <t>✅</t>
        </is>
      </c>
      <c r="I54" s="16" t="inlineStr">
        <is>
          <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7"/>
  <sheetViews>
    <sheetView showGridLines="1" workbookViewId="0">
      <pane xSplit="1" ySplit="3" topLeftCell="B4" activePane="bottomRight" state="frozen"/>
      <selection pane="topRight"/>
      <selection pane="bottomLeft"/>
      <selection pane="bottomRight" activeCell="A1" sqref="A1"/>
    </sheetView>
  </sheetViews>
  <sheetFormatPr baseColWidth="8" defaultRowHeight="15"/>
  <cols>
    <col width="14.35" customWidth="1" min="1" max="1"/>
    <col width="60" customWidth="1" min="2" max="2"/>
    <col width="60" customWidth="1" min="3" max="3"/>
    <col width="60" customWidth="1" min="4" max="4"/>
  </cols>
  <sheetData>
    <row r="1">
      <c r="A1" s="9" t="inlineStr">
        <is>
          <t>すべて推測。優先度・工数・金額は断定していない。</t>
        </is>
      </c>
    </row>
    <row r="3">
      <c r="A3" s="10" t="inlineStr">
        <is>
          <t>段階</t>
        </is>
      </c>
      <c r="B3" s="10" t="inlineStr">
        <is>
          <t>検討できる施策</t>
        </is>
      </c>
      <c r="C3" s="10" t="inlineStr">
        <is>
          <t>他社の根拠</t>
        </is>
      </c>
      <c r="D3" s="10" t="inlineStr">
        <is>
          <t>対応しうる既存 ID</t>
        </is>
      </c>
    </row>
    <row r="4">
      <c r="A4" s="16" t="inlineStr">
        <is>
          <t>0→10人の幹事</t>
        </is>
      </c>
      <c r="B4" s="16" t="inlineStr">
        <is>
          <t>運営自らが毎月の食事会の幹事を務め、そこで得た参加者・店主を次の幹事候補にする</t>
        </is>
      </c>
      <c r="C4" s="16" t="inlineStr">
        <is>
          <t>connpass(BPStudy)、프립、薯岛、Timeleft(初期は運営が手作業)</t>
        </is>
      </c>
      <c r="D4" s="16" t="inlineStr">
        <is>
          <t>主催自動化 S-04(公式オープンテーブル)、露出 P5-9(季節の運営公式イベント)</t>
        </is>
      </c>
    </row>
    <row r="5">
      <c r="A5" s="16" t="inlineStr">
        <is>
          <t>0→10人の幹事</t>
        </is>
      </c>
      <c r="B5" s="16" t="inlineStr">
        <is>
          <t>既存の食系コミュニティの運営者・店主・社内の幹事経験者を個別に口説く。初回開催は告知文・写真・席の確保まで伴走する</t>
        </is>
      </c>
      <c r="C5" s="16" t="inlineStr">
        <is>
          <t>Ticket Tailor(3件目の電話)、Luma(既存コミュニティの運営者)、ストアカ(地域コーディネーター)、シェアダイン(撮影・集客支援)</t>
        </is>
      </c>
      <c r="D5" s="16" t="inlineStr">
        <is>
          <t>P3-2(クロスポスト依頼)、P2-3(告知キット)、U-01(初回ウィザード)、D5-1、D1-1(A-05)</t>
        </is>
      </c>
    </row>
    <row r="6">
      <c r="A6" s="16" t="inlineStr">
        <is>
          <t>0→10人の幹事</t>
        </is>
      </c>
      <c r="B6" s="16" t="inlineStr">
        <is>
          <t>創業者・運営者の発信と、日本の食・スタートアップ系媒体への1本の報道</t>
        </is>
      </c>
      <c r="C6" s="16" t="inlineStr">
        <is>
          <t>Luma(Twitter 投稿から約1週間で TechCrunch)</t>
        </is>
      </c>
      <c r="D6" s="16" t="inlineStr">
        <is>
          <t>P0-1、P1-1(開催レポート)</t>
        </is>
      </c>
    </row>
    <row r="7">
      <c r="A7" s="16" t="inlineStr">
        <is>
          <t>0→10人の幹事</t>
        </is>
      </c>
      <c r="B7" s="16" t="inlineStr">
        <is>
          <t>既存媒体へ代表イベントを手動で並行掲載し、反応を見る</t>
        </is>
      </c>
      <c r="C7" s="16" t="inlineStr">
        <is>
          <t>こくちーず・Peatix の既存の集客力を借りる(Peatix は取扱の約15%が発見機能経由)</t>
        </is>
      </c>
      <c r="D7" s="16" t="inlineStr">
        <is>
          <t>P4-1、P3-1(効果が出てから D3-1)</t>
        </is>
      </c>
    </row>
    <row r="8">
      <c r="A8" s="16" t="inlineStr">
        <is>
          <t>10→100人</t>
        </is>
      </c>
      <c r="B8" s="16" t="inlineStr">
        <is>
          <t>イベント後に「今度は幹事」を出し、参加回数の多い人へ主催を打診する</t>
        </is>
      </c>
      <c r="C8" s="16" t="inlineStr">
        <is>
          <t>Eventbrite(参加者→主催者が約70%)、Posh</t>
        </is>
      </c>
      <c r="D8" s="16" t="inlineStr">
        <is>
          <t>D5-4、D5-5、04 イベントコピー</t>
        </is>
      </c>
    </row>
    <row r="9">
      <c r="A9" s="16" t="inlineStr">
        <is>
          <t>10→100人</t>
        </is>
      </c>
      <c r="B9" s="16" t="inlineStr">
        <is>
          <t>招待・共有導線と、その計測(UTM・シェア押下率)</t>
        </is>
      </c>
      <c r="C9" s="16" t="inlineStr">
        <is>
          <t>Partiful・Luma・Posh Kickback。報酬型は費用構造の確認が必要</t>
        </is>
      </c>
      <c r="D9" s="16" t="inlineStr">
        <is>
          <t>D1-2(A-03)、D6-4、D6-5</t>
        </is>
      </c>
    </row>
    <row r="10">
      <c r="A10" s="16" t="inlineStr">
        <is>
          <t>10→100人</t>
        </is>
      </c>
      <c r="B10" s="16" t="inlineStr">
        <is>
          <t>通知・再訪(告知スケジュール、未注文リマインド、前回参加者への優先案内)</t>
        </is>
      </c>
      <c r="C10" s="16" t="inlineStr">
        <is>
          <t>connpass の通知メール(会場の8〜9割 [二次])、Peatix の発見メール(取扱の約15%)</t>
        </is>
      </c>
      <c r="D10" s="16" t="inlineStr">
        <is>
          <t>A-04、A-10、A-11、D1-6(A-08)、D4-2</t>
        </is>
      </c>
    </row>
    <row r="11">
      <c r="A11" s="16" t="inlineStr">
        <is>
          <t>10→100人</t>
        </is>
      </c>
      <c r="B11" s="16" t="inlineStr">
        <is>
          <t>幹事への特典(初回の準備負担の軽減、認定バッジ、継続の見える化)。報酬型は規模が前提のため特典で代替</t>
        </is>
      </c>
      <c r="C11" s="16" t="inlineStr">
        <is>
          <t>문토(選抜ホスト 0.003%)、ストアカ(バッジ)、Pie(Creator Fund は $1M 規模が前提)</t>
        </is>
      </c>
      <c r="D11" s="16" t="inlineStr">
        <is>
          <t>K-04(ストリーク/バッジ)、K-03、U-03</t>
        </is>
      </c>
    </row>
    <row r="12">
      <c r="A12" s="16" t="inlineStr">
        <is>
          <t>10→100人</t>
        </is>
      </c>
      <c r="B12" s="16" t="inlineStr">
        <is>
          <t>店舗側: 事前注文の集計・仕込み数の見える化、閑散時間帯の充填を営業の入口にする</t>
        </is>
      </c>
      <c r="C12" s="16" t="inlineStr">
        <is>
          <t>OpenTable・TableCheck・Tock</t>
        </is>
      </c>
      <c r="D12" s="16" t="inlineStr">
        <is>
          <t>04_飲食店向け、P2-2、D6-3</t>
        </is>
      </c>
    </row>
    <row r="13">
      <c r="A13" s="16" t="inlineStr">
        <is>
          <t>10→100人</t>
        </is>
      </c>
      <c r="B13" s="16" t="inlineStr">
        <is>
          <t>季節のピーク(忘年会・新年会・歓送迎会・花見)に合わせた幹事向けテンプレ・告知</t>
        </is>
      </c>
      <c r="C13" s="16" t="inlineStr">
        <is>
          <t>Partiful のハロウィーン(1人あたり6件以上)</t>
        </is>
      </c>
      <c r="D13" s="16" t="inlineStr">
        <is>
          <t>P5-9、O-17</t>
        </is>
      </c>
    </row>
    <row r="14">
      <c r="A14" s="16" t="inlineStr">
        <is>
          <t>その先</t>
        </is>
      </c>
      <c r="B14" s="16" t="inlineStr">
        <is>
          <t>エリア×ジャンルの検索面(自前の pSEO)と発見面。検索は並行掲載で借りる段階から自前へ</t>
        </is>
      </c>
      <c r="C14" s="16" t="inlineStr">
        <is>
          <t>Eventbrite の都市×カテゴリ、Luma の多言語化</t>
        </is>
      </c>
      <c r="D14" s="16" t="inlineStr">
        <is>
          <t>D2-4・D2-5、D4-1〜D4-4</t>
        </is>
      </c>
    </row>
    <row r="15">
      <c r="A15" s="16" t="inlineStr">
        <is>
          <t>その先</t>
        </is>
      </c>
      <c r="B15" s="16" t="inlineStr">
        <is>
          <t>需要を持つ提携先との BD(HR・福利厚生、商工会議所・自治体・大学サークル)</t>
        </is>
      </c>
      <c r="C15" s="16" t="inlineStr">
        <is>
          <t>Resy×Amex、HelloAsso×銀行、LIVEPOCKET×KDDI</t>
        </is>
      </c>
      <c r="D15" s="16" t="inlineStr">
        <is>
          <t>P5-4、P5-5、P5-6</t>
        </is>
      </c>
    </row>
    <row r="16">
      <c r="A16" s="16" t="inlineStr">
        <is>
          <t>その先</t>
        </is>
      </c>
      <c r="B16" s="16" t="inlineStr">
        <is>
          <t>有料検索広告は粗利と CV あたりの収益を確認してから小さく試す</t>
        </is>
      </c>
      <c r="C16" s="16" t="inlineStr">
        <is>
          <t>Zeffy(収益が立ってから拡大とみられる)</t>
        </is>
      </c>
      <c r="D16" s="16" t="inlineStr">
        <is>
          <t>D6-6(初回接触チャネル)</t>
        </is>
      </c>
    </row>
    <row r="17">
      <c r="A17" s="16" t="inlineStr">
        <is>
          <t>その先</t>
        </is>
      </c>
      <c r="B17" s="16" t="inlineStr">
        <is>
          <t>埋め込み・カレンダー購読・店舗 QR</t>
        </is>
      </c>
      <c r="C17" s="16" t="inlineStr">
        <is>
          <t>Luma の埋め込みと購読</t>
        </is>
      </c>
      <c r="D17" s="16" t="inlineStr">
        <is>
          <t>D6-1、D6-2(A-07)、D6-3</t>
        </is>
      </c>
    </row>
  </sheetData>
  <autoFilter ref="A3:D1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31"/>
  <sheetViews>
    <sheetView showGridLines="1" workbookViewId="0">
      <selection activeCell="A1" sqref="A1"/>
    </sheetView>
  </sheetViews>
  <sheetFormatPr baseColWidth="8" defaultRowHeight="15"/>
  <cols>
    <col width="24" customWidth="1" min="1" max="1"/>
    <col width="50" customWidth="1" min="2" max="2"/>
    <col width="60" customWidth="1" min="3" max="3"/>
    <col width="50" customWidth="1" min="4" max="4"/>
  </cols>
  <sheetData>
    <row r="1">
      <c r="A1" s="18" t="inlineStr">
        <is>
          <t>表1:3文書の記述に食い違い・追記が必要なもの</t>
        </is>
      </c>
      <c r="B1" s="19" t="n"/>
      <c r="C1" s="19" t="n"/>
      <c r="D1" s="19" t="n"/>
    </row>
    <row r="2">
      <c r="A2" s="10" t="inlineStr">
        <is>
          <t>#</t>
        </is>
      </c>
      <c r="B2" s="10" t="inlineStr">
        <is>
          <t>先行の記述(文書・箇所)</t>
        </is>
      </c>
      <c r="C2" s="10" t="inlineStr">
        <is>
          <t>今回判明した事実</t>
        </is>
      </c>
      <c r="D2" s="10" t="inlineStr">
        <is>
          <t>出典</t>
        </is>
      </c>
    </row>
    <row r="3">
      <c r="A3" s="16" t="n">
        <v>1</v>
      </c>
      <c r="B3" s="16" t="inlineStr">
        <is>
          <t>01_サービス概観.md 表(ストアカ行):「累計受講者210万人、講師約5万人(2024-10)」</t>
        </is>
      </c>
      <c r="C3" s="16" t="inlineStr">
        <is>
          <t>210万人は公式の会社概要の「2024年1〜12月時点(出席数+月額課金件数の合算)」。2024-10-02 の PR は累計150万人・講師5万人、2024-06(Green)は170万人、社長名鑑は140万人。時点と定義が異なり同一系列として比較できない。時点表記の修正が必要</t>
        </is>
      </c>
      <c r="D3" s="16" t="inlineStr">
        <is>
          <t>(ストアカ 会社概要、resemom 2024-10、Green(ストアカ)、社長名鑑(ストアカ))
https://www.street-academy.com/about
https://resemom.jp/release/prtimes/20241002/124393.html
https://www.green-japan.com/company/3586
https://shachomeikan.jp/industry_article/2680</t>
        </is>
      </c>
    </row>
    <row r="4">
      <c r="A4" s="16" t="n">
        <v>2</v>
      </c>
      <c r="B4" s="16" t="inlineStr">
        <is>
          <t>01_サービス概観.md 表(Meetup 行):「会員5,200万超・30万超グループ・193か国(公式メディアページ、日付不明)」</t>
        </is>
      </c>
      <c r="C4" s="16" t="inlineStr">
        <is>
          <t>同じ数値が 2021-10-08 のアーカイブにあり、更新されていない古い数字の可能性が高い。App Store(2026-10取得)は6,000万超・33万超グループ・週約10万イベント</t>
        </is>
      </c>
      <c r="D4" s="16" t="inlineStr">
        <is>
          <t>(Meetup 公式メディアページ(2021-10 アーカイブ)、App Store: Meetup)
https://web-wp.archive.org/web/20211008062439/https:/www.meetup.com/media/
https://apps.apple.com/us/app/meetup-find-events-groups/id375990038</t>
        </is>
      </c>
    </row>
    <row r="5">
      <c r="A5" s="16" t="n">
        <v>3</v>
      </c>
      <c r="B5" s="16" t="inlineStr">
        <is>
          <t>01_サービス概観.md 表(Sympla 行):「古い資料のみ(2013年売上R$5M等)」</t>
        </is>
      </c>
      <c r="C5" s="16" t="inlineStr">
        <is>
          <t>2025-09 の報道で直近12か月 GMV 約 R$3bn(Ingresse は R$2.5bn 見込み)、2020-09 の報道で8年累計85万イベント・9.5万超の主催者・6,500万枚。創業年は報道が2012年、Wikipedia(pt)が2011年(2005年創業説は未確認)</t>
        </is>
      </c>
      <c r="D5" s="16" t="inlineStr">
        <is>
          <t>(Brazil Journal 2025-09、NeoFeed 2020-09)
https://braziljournal.com/sympla-compra-a-gandaya-uma-tiqueteira-da-gen-z/
https://neofeed.com.br/blog/home/na-sympla-o-show-tem-que-continuar</t>
        </is>
      </c>
    </row>
    <row r="6">
      <c r="A6" s="16" t="n">
        <v>4</v>
      </c>
      <c r="B6" s="16" t="inlineStr">
        <is>
          <t>01_サービス概観.md 表(HelloAsso 行):「登録協会376,000・2024年売上€20M・累計€2bn超」(出典欄は Carenews の2020年記事)</t>
        </is>
      </c>
      <c r="C6" s="16" t="inlineStr">
        <is>
          <t>当該 Carenews 記事は2020年のインタビューで2024年の数値を含まない。これらは Wikipedia(fr)と Journal des Entreprises(502 で本文未読の検索要約)に由来し、一次の裏づけが未確認</t>
        </is>
      </c>
      <c r="D6" s="16" t="inlineStr">
        <is>
          <t>(Carenews 2020-04、Carenews 2022-11)
https://www.carenews.com/fr/news/lea-thomassin-le-modele-economique-du-pourboire-correspond-a-l-adn-du-secteur-associatif
https://www.carenews.com/carenews-pro/news/helloasso-leve-15-millions-pour-renforcer-son-impact-aupres-des-associations</t>
        </is>
      </c>
    </row>
    <row r="7">
      <c r="A7" s="16" t="n">
        <v>5</v>
      </c>
      <c r="B7" s="16" t="inlineStr">
        <is>
          <t>01_サービス概観.md 表(Humanitix 行):「寄付累計は資料間で不一致($6.7M超〜$20.8M)」</t>
        </is>
      </c>
      <c r="C7" s="16" t="inlineStr">
        <is>
          <t>最新は約 A$21M(2026-04 の報道「2年で倍増」)で公式サイト表示の約 $20.8M と整合。$1.5M(2023-01)・$2.5M超(2023-02)は当時の値、$6.7M超は旧採用ページ。不一致の主因は時点と通貨の差</t>
        </is>
      </c>
      <c r="D7" s="16" t="inlineStr">
        <is>
          <t>(SmartCompany 2026-04、Yahoo Finance AU 2023-02)
https://www.smartcompany.com.au/startupsmart/wolverine-hugh-jackman-joins-humanitix-take-on-ticketing-fees/
https://au.finance.yahoo.com/news/humanitix-adam-mccurdie-interview-015703617.html</t>
        </is>
      </c>
    </row>
    <row r="8">
      <c r="A8" s="16" t="n">
        <v>6</v>
      </c>
      <c r="B8" s="16" t="inlineStr">
        <is>
          <t>01_サービス概観.md 表(Luma 行):「営業・提携をせず口コミで拡大」</t>
        </is>
      </c>
      <c r="C8" s="16" t="inlineStr">
        <is>
          <t>2025-01 の創業者の自己申告としては正しいが、2020-07 に growth lead、2024-02 に City Leads(主催者の獲得とイベントのキュレーション)を募集している。「営業なし」は時期限定。創業は 2020-03末で旧名 ZmURL(2020-08 に改名)</t>
        </is>
      </c>
      <c r="D8" s="16" t="inlineStr">
        <is>
          <t>(Pontis 週次メモ 2020-07、How Luma Works 2025-01)
https://victorp.substack.com/p/weekly-update-2020-07-20
https://pont.is/p/how-luma-works</t>
        </is>
      </c>
    </row>
    <row r="9">
      <c r="A9" s="16" t="n">
        <v>7</v>
      </c>
      <c r="B9" s="16" t="inlineStr">
        <is>
          <t>04_主催者獲得_機能と施策.md(Meetup):「初期に会場から課金して集客を送り、成立したグループの会員が提携会場3つから投票する方式」</t>
        </is>
      </c>
      <c r="C9" s="16" t="inlineStr">
        <is>
          <t>2003-11 の報道は収益源を3つ(主催者の掲載料、Meetup へのリンクの対価を払う組織、有料メンバーシップ)と記し、会場課金のみとは限らない。2005-04 に主催者へ月額 $19 の課金を開始</t>
        </is>
      </c>
      <c r="D9" s="16" t="inlineStr">
        <is>
          <t>(Deseret News 2003-11、The Register 2005-04)
https://www.deseret.com/2003/11/17/19795823/meetup-com-goes-beyond-chat-room
https://www.theregister.com/2005/04/15/meetup_wants_you_to_payup/</t>
        </is>
      </c>
    </row>
    <row r="10">
      <c r="A10" s="16" t="n">
        <v>8</v>
      </c>
      <c r="B10" s="16" t="inlineStr">
        <is>
          <t>03_参加者獲得_機能と施策.md:「Timeleft は新規向けに €5 割引コードを案内する」(出典はパリのブログ)</t>
        </is>
      </c>
      <c r="C10" s="16" t="inlineStr">
        <is>
          <t>当該ブログは2023-09-27 のパリ初ローンチ記事で、ページ上の日付(2025-12-15)は再掲日の可能性が高い。コード名は創業者ニュースレター名(DAILYMAX23)と一致する2023年の施策とみられ、現行の施策とは断定できない</t>
        </is>
      </c>
      <c r="D10" s="16" t="inlineStr">
        <is>
          <t>(Timeleft ブログ(パリ)、Barbier ニュースレター 2024-12)
https://timeleft.com/post/back-to-basics-timeleft-launches-its-unique-dinners-in-paris/
https://dailymax.substack.com/p/timeleft-de-0-a-1-million-deuros</t>
        </is>
      </c>
    </row>
    <row r="11">
      <c r="A11" s="16" t="n">
        <v>9</v>
      </c>
      <c r="B11" s="16" t="inlineStr">
        <is>
          <t>04_主催者獲得_機能と施策.md(Fever):「Candlelight は…100都市超(2023報道)」</t>
        </is>
      </c>
      <c r="C11" s="16" t="inlineStr">
        <is>
          <t>2026年の報道は150都市超・累計200万人超(2022年初)。更新できる</t>
        </is>
      </c>
      <c r="D11" s="16" t="inlineStr">
        <is>
          <t>(Blooloop)
https://blooloop.com/brands-ip/in-depth/fever-originals/</t>
        </is>
      </c>
    </row>
    <row r="12">
      <c r="A12" s="16" t="n">
        <v>10</v>
      </c>
      <c r="B12" s="16" t="inlineStr">
        <is>
          <t>03_参加者獲得_機能と施策.md(DICE):「2014年に DJ が約100公演を選び」</t>
        </is>
      </c>
      <c r="C12" s="16" t="inlineStr">
        <is>
          <t>TechCrunch(2014-09)は「アルゴリズムではなく音楽エディターが100公演を選定」と記す。選定者の記述が出典間で異なる</t>
        </is>
      </c>
      <c r="D12" s="16" t="inlineStr">
        <is>
          <t>(TechCrunch 2014-09)
https://techcrunch.com/2014/09/18/dice/amp/</t>
        </is>
      </c>
    </row>
    <row r="13">
      <c r="A13" s="16" t="n">
        <v>11</v>
      </c>
      <c r="B13" s="16" t="inlineStr">
        <is>
          <t>01_サービス概観.md 表(Shotgun 行):「主催者6,000超・ユーザー600万超(求人票)」</t>
        </is>
      </c>
      <c r="C13" s="16" t="inlineStr">
        <is>
          <t>共同創業者の2025-06 の発言は仏国内500万ユーザー・数千の主催者・2024年の取扱€200M。求人票は再取得できず、範囲の違い(欧米中南米)の可能性。創業は2014年(パリ)</t>
        </is>
      </c>
      <c r="D13" s="16" t="inlineStr">
        <is>
          <t>(Billboard France 2025-06)
https://fr.billboard.com/romain-dugier-le-marche-est-traverse-par-deux-tendances-la-consolidation-et-lindependance/</t>
        </is>
      </c>
    </row>
    <row r="14">
      <c r="A14" s="16" t="n">
        <v>12</v>
      </c>
      <c r="B14" s="16" t="inlineStr">
        <is>
          <t>01_サービス概観.md 表(薯岛行):「1.2万人超(2025-12まで)と3万人超(2026-03の別報道)で不一致」</t>
        </is>
      </c>
      <c r="C14" s="16" t="inlineStr">
        <is>
          <t>36氪(2026-03)は1.6万人超と記し、第3の値がある。定義の記載はない</t>
        </is>
      </c>
      <c r="D14" s="16" t="inlineStr">
        <is>
          <t>(36氪)
https://www.36kr.com/p/3923485499895427</t>
        </is>
      </c>
    </row>
    <row r="15">
      <c r="A15" s="16" t="n">
        <v>13</v>
      </c>
      <c r="B15" s="16" t="inlineStr">
        <is>
          <t>04_主催者獲得_機能と施策.md(Eventbrite):「2023年に25人超の無料イベントにも主催者手数料を課し」</t>
        </is>
      </c>
      <c r="C15" s="16" t="inlineStr">
        <is>
          <t>導入時期は10-K が2023年6月、Skift が2023年後半で食い違う</t>
        </is>
      </c>
      <c r="D15" s="16" t="inlineStr">
        <is>
          <t>(10-K FY2023、Skift 2025-12)
https://www.sec.gov/Archives/edgar/data/1475115/000147511524000042/eb-20231231.htm
https://meetings.skift.com/2025/12/02/bending-spoons-to-acquire-eventbrite-in-500-million-cash-deal/</t>
        </is>
      </c>
    </row>
    <row r="17">
      <c r="A17" s="18" t="inlineStr">
        <is>
          <t>表2:調査依頼時の想定・先行ノートで指摘されたが、3文書には記載がなかったもの(参考)</t>
        </is>
      </c>
      <c r="B17" s="19" t="n"/>
      <c r="C17" s="19" t="n"/>
    </row>
    <row r="18">
      <c r="A18" s="10" t="inlineStr">
        <is>
          <t>項目</t>
        </is>
      </c>
      <c r="B18" s="10" t="inlineStr">
        <is>
          <t>今回判明した事実</t>
        </is>
      </c>
      <c r="C18" s="10" t="inlineStr">
        <is>
          <t>3文書での扱い</t>
        </is>
      </c>
    </row>
    <row r="19">
      <c r="A19" s="16" t="inlineStr">
        <is>
          <t>Zeffy の改名</t>
        </is>
      </c>
      <c r="B19" s="16" t="inlineStr">
        <is>
          <t>2022-04-21 に Simplyk を Zeffy に改名。2021-11 はシードと米国展開</t>
        </is>
      </c>
      <c r="C19" s="16" t="inlineStr">
        <is>
          <t>改名時期の記載なし</t>
        </is>
      </c>
    </row>
    <row r="20">
      <c r="A20" s="16" t="inlineStr">
        <is>
          <t>HelloAsso の€15M</t>
        </is>
      </c>
      <c r="B20" s="16" t="inlineStr">
        <is>
          <t>2022-11 の€15M は既存の筆頭株主 Crédit Mutuel Maine-Anjou Basse-Normandie による出資(外部 VC ではない)</t>
        </is>
      </c>
      <c r="C20" s="16" t="inlineStr">
        <is>
          <t>記載なし</t>
        </is>
      </c>
    </row>
    <row r="21">
      <c r="A21" s="16" t="inlineStr">
        <is>
          <t>Peatix の買収</t>
        </is>
      </c>
      <c r="B21" s="16" t="inlineStr">
        <is>
          <t>買収された事実は確認できず、独立系のまま資金調達(累計約$9M)と JTB の少数出資(2019)</t>
        </is>
      </c>
      <c r="C21" s="16" t="inlineStr">
        <is>
          <t>買収の記述なし</t>
        </is>
      </c>
    </row>
    <row r="22">
      <c r="A22" s="16" t="inlineStr">
        <is>
          <t>Timeleft のパリ再参入</t>
        </is>
      </c>
      <c r="B22" s="16" t="inlineStr">
        <is>
          <t>2025年12月の再参入ではなく、2023-09-27 のパリ初ローンチ記事のページ日付の誤読の可能性が高い</t>
        </is>
      </c>
      <c r="C22" s="16" t="inlineStr">
        <is>
          <t>記載なし(表1の#8は別件)</t>
        </is>
      </c>
    </row>
    <row r="23">
      <c r="A23" s="16" t="inlineStr">
        <is>
          <t>DICE の創業者</t>
        </is>
      </c>
      <c r="B23" s="16" t="inlineStr">
        <is>
          <t>Phil Hutcheon(「Phill Hodgson」は誤記)</t>
        </is>
      </c>
      <c r="C23" s="16" t="inlineStr">
        <is>
          <t>創業者名の記載なし</t>
        </is>
      </c>
    </row>
    <row r="24">
      <c r="A24" s="16" t="inlineStr">
        <is>
          <t>Shotgun の創業年</t>
        </is>
      </c>
      <c r="B24" s="16" t="inlineStr">
        <is>
          <t>2014年(パリ)</t>
        </is>
      </c>
      <c r="C24" s="16" t="inlineStr">
        <is>
          <t>記載なし</t>
        </is>
      </c>
    </row>
    <row r="25">
      <c r="A25" s="16" t="inlineStr">
        <is>
          <t>TableCheck の創業年</t>
        </is>
      </c>
      <c r="B25" s="16" t="inlineStr">
        <is>
          <t>2011年3月(2012年ではない)</t>
        </is>
      </c>
      <c r="C25" s="16" t="inlineStr">
        <is>
          <t>本文に記載なし</t>
        </is>
      </c>
    </row>
    <row r="26">
      <c r="A26" s="16" t="inlineStr">
        <is>
          <t>Dinner Lab の創業年</t>
        </is>
      </c>
      <c r="B26" s="16" t="inlineStr">
        <is>
          <t>2011(Entrepreneur・Failory)/ 2012-08(TechCrunch)/ 2012(Harvard D3)で食い違う。閉鎖は2016-04-14 で確定</t>
        </is>
      </c>
      <c r="C26" s="16" t="inlineStr">
        <is>
          <t>創業年の記載なし</t>
        </is>
      </c>
    </row>
    <row r="27">
      <c r="A27" s="16" t="inlineStr">
        <is>
          <t>Partiful の創業年</t>
        </is>
      </c>
      <c r="B27" s="16" t="inlineStr">
        <is>
          <t>2020年が有力(Fortune・CNBC・TechCrunch)、Wikipedia のみ2019年</t>
        </is>
      </c>
      <c r="C27" s="16" t="inlineStr">
        <is>
          <t>「米(2020)」で整合</t>
        </is>
      </c>
    </row>
    <row r="28">
      <c r="A28" s="16" t="inlineStr">
        <is>
          <t>Posh の創業者</t>
        </is>
      </c>
      <c r="B28" s="16" t="inlineStr">
        <is>
          <t>Avante Price と Eli Taylor-Lemire</t>
        </is>
      </c>
      <c r="C28" s="16" t="inlineStr">
        <is>
          <t>創業者名の記載なし</t>
        </is>
      </c>
    </row>
    <row r="29">
      <c r="A29" s="16" t="inlineStr">
        <is>
          <t>Sympla の創業年</t>
        </is>
      </c>
      <c r="B29" s="16" t="inlineStr">
        <is>
          <t>2012年(報道)/ 2011年(Wikipedia pt)。2005年は確認できない</t>
        </is>
      </c>
      <c r="C29" s="16" t="inlineStr">
        <is>
          <t>記載なし</t>
        </is>
      </c>
    </row>
    <row r="30">
      <c r="A30" s="16" t="inlineStr">
        <is>
          <t>Doorkeeper の一般公開</t>
        </is>
      </c>
      <c r="B30" s="16" t="inlineStr">
        <is>
          <t>2010-07(2011年ではない)</t>
        </is>
      </c>
      <c r="C30" s="16" t="inlineStr">
        <is>
          <t>記載なし</t>
        </is>
      </c>
    </row>
    <row r="31">
      <c r="A31" s="16" t="inlineStr">
        <is>
          <t>こくちーずの会員の伸び</t>
        </is>
      </c>
      <c r="B31" s="16" t="inlineStr">
        <is>
          <t>「毎年約15%」ではなく期間により +14〜47%、2020-02〜2025-11 の年平均は約22%(筆者計算)</t>
        </is>
      </c>
      <c r="C31" s="16" t="inlineStr">
        <is>
          <t>記載なし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2026-10-11T12:47:34Z</dcterms:created>
  <dcterms:modified xmlns:dcterms="http://purl.org/dc/terms/" xmlns:xsi="http://www.w3.org/2001/XMLSchema-instance" xsi:type="dcterms:W3CDTF">2026-10-11T12:47:35Z</dcterms:modified>
</cp:coreProperties>
</file>